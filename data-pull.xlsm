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lam\Downloads\"/>
    </mc:Choice>
  </mc:AlternateContent>
  <xr:revisionPtr revIDLastSave="0" documentId="13_ncr:1_{7CCC18A5-55DF-41B6-AEA2-DB94B2DF7B38}" xr6:coauthVersionLast="47" xr6:coauthVersionMax="47" xr10:uidLastSave="{00000000-0000-0000-0000-000000000000}"/>
  <bookViews>
    <workbookView xWindow="-120" yWindow="-120" windowWidth="25440" windowHeight="15270" activeTab="2" xr2:uid="{00000000-000D-0000-FFFF-FFFF00000000}"/>
  </bookViews>
  <sheets>
    <sheet name="2025" sheetId="3" r:id="rId1"/>
    <sheet name="Config" sheetId="2" r:id="rId2"/>
    <sheet name="Result" sheetId="1" r:id="rId3"/>
  </sheets>
  <functionGroups builtInGroupCount="19"/>
  <definedNames>
    <definedName name="_xlnm._FilterDatabase" localSheetId="0" hidden="1">'2025'!$A$2:$L$102</definedName>
    <definedName name="_xlnm.Criteria" localSheetId="1">Config!$A$1:$Q$2</definedName>
    <definedName name="_xlnm.Criteria" localSheetId="2">Result!$A$1:$L$2</definedName>
    <definedName name="_xlnm.Extract" localSheetId="2">Result!$A$4:$L$4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B3" i="2"/>
  <c r="B2" i="1"/>
  <c r="A2" i="1"/>
  <c r="B2" i="2"/>
  <c r="B1" i="2"/>
</calcChain>
</file>

<file path=xl/sharedStrings.xml><?xml version="1.0" encoding="utf-8"?>
<sst xmlns="http://schemas.openxmlformats.org/spreadsheetml/2006/main" count="719" uniqueCount="141">
  <si>
    <t>File Path</t>
  </si>
  <si>
    <t>Sheet Name</t>
  </si>
  <si>
    <t>خالد</t>
  </si>
  <si>
    <t>إبراهيم</t>
  </si>
  <si>
    <t>تاريخ الفاتورة</t>
  </si>
  <si>
    <t>رقم الفاتورة</t>
  </si>
  <si>
    <t>اسم العميل</t>
  </si>
  <si>
    <t>المنتج</t>
  </si>
  <si>
    <t>الكمية</t>
  </si>
  <si>
    <t>سعر الوحدة</t>
  </si>
  <si>
    <t>الخصم</t>
  </si>
  <si>
    <t>الإجمالي</t>
  </si>
  <si>
    <t>طريقة الدفع</t>
  </si>
  <si>
    <t>الحالة</t>
  </si>
  <si>
    <t>الموظف المسؤول</t>
  </si>
  <si>
    <t>ملاحظات</t>
  </si>
  <si>
    <t>INV-1001</t>
  </si>
  <si>
    <t>محمود حسن</t>
  </si>
  <si>
    <t>طابعة</t>
  </si>
  <si>
    <t>كاش</t>
  </si>
  <si>
    <t>جزئي</t>
  </si>
  <si>
    <t>نورا</t>
  </si>
  <si>
    <t>INV-1002</t>
  </si>
  <si>
    <t>كاميرا</t>
  </si>
  <si>
    <t>تحويل بنكي</t>
  </si>
  <si>
    <t>INV-1003</t>
  </si>
  <si>
    <t>يوسف إبراهيم</t>
  </si>
  <si>
    <t>مدفوع</t>
  </si>
  <si>
    <t>INV-1004</t>
  </si>
  <si>
    <t>سماعة</t>
  </si>
  <si>
    <t>داليا</t>
  </si>
  <si>
    <t>طلب خاص</t>
  </si>
  <si>
    <t>INV-1005</t>
  </si>
  <si>
    <t>أحمد خالد</t>
  </si>
  <si>
    <t>INV-1006</t>
  </si>
  <si>
    <t>فيزا</t>
  </si>
  <si>
    <t>متأخر</t>
  </si>
  <si>
    <t>INV-1007</t>
  </si>
  <si>
    <t>موبايل</t>
  </si>
  <si>
    <t>INV-1008</t>
  </si>
  <si>
    <t>منى محمد</t>
  </si>
  <si>
    <t>INV-1009</t>
  </si>
  <si>
    <t>ماوس</t>
  </si>
  <si>
    <t>INV-1010</t>
  </si>
  <si>
    <t>شاشة</t>
  </si>
  <si>
    <t>INV-1011</t>
  </si>
  <si>
    <t>INV-1012</t>
  </si>
  <si>
    <t>فلاش ميموري</t>
  </si>
  <si>
    <t>INV-1013</t>
  </si>
  <si>
    <t>INV-1014</t>
  </si>
  <si>
    <t>لاب توب</t>
  </si>
  <si>
    <t>INV-1015</t>
  </si>
  <si>
    <t>INV-1016</t>
  </si>
  <si>
    <t>INV-1017</t>
  </si>
  <si>
    <t>سارة علي</t>
  </si>
  <si>
    <t>INV-1018</t>
  </si>
  <si>
    <t>INV-1019</t>
  </si>
  <si>
    <t>INV-1020</t>
  </si>
  <si>
    <t>INV-1021</t>
  </si>
  <si>
    <t>INV-1022</t>
  </si>
  <si>
    <t>INV-1023</t>
  </si>
  <si>
    <t>INV-1024</t>
  </si>
  <si>
    <t>INV-1025</t>
  </si>
  <si>
    <t>INV-1026</t>
  </si>
  <si>
    <t>INV-1027</t>
  </si>
  <si>
    <t>INV-1028</t>
  </si>
  <si>
    <t>INV-1029</t>
  </si>
  <si>
    <t>INV-1030</t>
  </si>
  <si>
    <t>INV-1031</t>
  </si>
  <si>
    <t>INV-1032</t>
  </si>
  <si>
    <t>INV-1033</t>
  </si>
  <si>
    <t>INV-1034</t>
  </si>
  <si>
    <t>INV-1035</t>
  </si>
  <si>
    <t>INV-1036</t>
  </si>
  <si>
    <t>INV-1037</t>
  </si>
  <si>
    <t>INV-1038</t>
  </si>
  <si>
    <t>INV-1039</t>
  </si>
  <si>
    <t>INV-1040</t>
  </si>
  <si>
    <t>INV-1041</t>
  </si>
  <si>
    <t>لوحة مفاتيح</t>
  </si>
  <si>
    <t>INV-1042</t>
  </si>
  <si>
    <t>INV-1043</t>
  </si>
  <si>
    <t>INV-1044</t>
  </si>
  <si>
    <t>INV-1045</t>
  </si>
  <si>
    <t>INV-1046</t>
  </si>
  <si>
    <t>INV-1047</t>
  </si>
  <si>
    <t>INV-1048</t>
  </si>
  <si>
    <t>INV-1049</t>
  </si>
  <si>
    <t>INV-1050</t>
  </si>
  <si>
    <t>INV-1051</t>
  </si>
  <si>
    <t>INV-1052</t>
  </si>
  <si>
    <t>INV-1053</t>
  </si>
  <si>
    <t>INV-1054</t>
  </si>
  <si>
    <t>INV-1055</t>
  </si>
  <si>
    <t>INV-1056</t>
  </si>
  <si>
    <t>INV-1057</t>
  </si>
  <si>
    <t>INV-1058</t>
  </si>
  <si>
    <t>INV-1059</t>
  </si>
  <si>
    <t>INV-1060</t>
  </si>
  <si>
    <t>INV-1061</t>
  </si>
  <si>
    <t>INV-1062</t>
  </si>
  <si>
    <t>INV-1063</t>
  </si>
  <si>
    <t>INV-1064</t>
  </si>
  <si>
    <t>INV-1065</t>
  </si>
  <si>
    <t>INV-1066</t>
  </si>
  <si>
    <t>INV-1067</t>
  </si>
  <si>
    <t>INV-1068</t>
  </si>
  <si>
    <t>INV-1069</t>
  </si>
  <si>
    <t>INV-1070</t>
  </si>
  <si>
    <t>INV-1071</t>
  </si>
  <si>
    <t>INV-1072</t>
  </si>
  <si>
    <t>INV-1073</t>
  </si>
  <si>
    <t>INV-1074</t>
  </si>
  <si>
    <t>INV-1075</t>
  </si>
  <si>
    <t>INV-1076</t>
  </si>
  <si>
    <t>INV-1077</t>
  </si>
  <si>
    <t>INV-1078</t>
  </si>
  <si>
    <t>INV-1079</t>
  </si>
  <si>
    <t>INV-1080</t>
  </si>
  <si>
    <t>INV-1081</t>
  </si>
  <si>
    <t>INV-1082</t>
  </si>
  <si>
    <t>INV-1083</t>
  </si>
  <si>
    <t>INV-1084</t>
  </si>
  <si>
    <t>INV-1085</t>
  </si>
  <si>
    <t>INV-1086</t>
  </si>
  <si>
    <t>INV-1087</t>
  </si>
  <si>
    <t>INV-1088</t>
  </si>
  <si>
    <t>INV-1089</t>
  </si>
  <si>
    <t>INV-1090</t>
  </si>
  <si>
    <t>INV-1091</t>
  </si>
  <si>
    <t>INV-1092</t>
  </si>
  <si>
    <t>INV-1093</t>
  </si>
  <si>
    <t>INV-1094</t>
  </si>
  <si>
    <t>INV-1095</t>
  </si>
  <si>
    <t>INV-1096</t>
  </si>
  <si>
    <t>INV-1097</t>
  </si>
  <si>
    <t>INV-1098</t>
  </si>
  <si>
    <t>INV-1099</t>
  </si>
  <si>
    <t>INV-1100</t>
  </si>
  <si>
    <t>Start Cell</t>
  </si>
  <si>
    <t>نظام تتبع الفواتير والمبيعات اليومية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</si>
</sst>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409]d\-mmm\-yy;@"/>
    <numFmt numFmtId="165" formatCode="yyyy\-mm\-dd"/>
  </numFmts>
  <fonts count="5" x14ac:knownFonts="1">
    <font>
      <sz val="11"/>
      <color theme="1"/>
      <name val="Arial"/>
      <family val="2"/>
      <scheme val="minor"/>
    </font>
    <font>
      <b/>
      <i/>
      <sz val="12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1"/>
      <color theme="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" fontId="0" fillId="0" borderId="0" xfId="1" applyNumberFormat="1" applyFont="1" applyBorder="1" applyAlignment="1">
      <alignment horizontal="center" vertical="center"/>
    </xf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7425</xdr:colOff>
      <xdr:row>2</xdr:row>
      <xdr:rowOff>19053</xdr:rowOff>
    </xdr:from>
    <xdr:to>
      <xdr:col>1</xdr:col>
      <xdr:colOff>1404917</xdr:colOff>
      <xdr:row>2</xdr:row>
      <xdr:rowOff>199834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2186559-1C2C-297F-AE47-0E883FA40574}"/>
            </a:ext>
          </a:extLst>
        </xdr:cNvPr>
        <xdr:cNvGrpSpPr/>
      </xdr:nvGrpSpPr>
      <xdr:grpSpPr>
        <a:xfrm>
          <a:off x="11237180683" y="390528"/>
          <a:ext cx="2835767" cy="180781"/>
          <a:chOff x="11237180683" y="387932"/>
          <a:chExt cx="2835767" cy="156139"/>
        </a:xfrm>
      </xdr:grpSpPr>
      <xdr:sp macro="[0]!ClearImportedData" textlink="">
        <xdr:nvSpPr>
          <xdr:cNvPr id="197" name="Rectangle 2">
            <a:extLst>
              <a:ext uri="{FF2B5EF4-FFF2-40B4-BE49-F238E27FC236}">
                <a16:creationId xmlns:a16="http://schemas.microsoft.com/office/drawing/2014/main" id="{6A930255-529D-47B4-838D-222E4DA94D18}"/>
              </a:ext>
            </a:extLst>
          </xdr:cNvPr>
          <xdr:cNvSpPr/>
        </xdr:nvSpPr>
        <xdr:spPr>
          <a:xfrm>
            <a:off x="11237180683" y="388606"/>
            <a:ext cx="1404000" cy="155465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en-US" sz="1200" b="1"/>
              <a:t>Clear</a:t>
            </a:r>
            <a:endParaRPr lang="ar-EG" sz="1200" b="1"/>
          </a:p>
        </xdr:txBody>
      </xdr:sp>
      <xdr:sp macro="[0]!ImportFilteredData" textlink="">
        <xdr:nvSpPr>
          <xdr:cNvPr id="4" name="Rectangle 1">
            <a:extLst>
              <a:ext uri="{FF2B5EF4-FFF2-40B4-BE49-F238E27FC236}">
                <a16:creationId xmlns:a16="http://schemas.microsoft.com/office/drawing/2014/main" id="{C84A4F7B-1447-A145-E7E2-DADE220E7204}"/>
              </a:ext>
            </a:extLst>
          </xdr:cNvPr>
          <xdr:cNvSpPr/>
        </xdr:nvSpPr>
        <xdr:spPr>
          <a:xfrm>
            <a:off x="11238612450" y="387932"/>
            <a:ext cx="1404000" cy="155464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en-US" sz="1200" b="1"/>
              <a:t>Get</a:t>
            </a:r>
            <a:endParaRPr lang="ar-EG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382DF-5D46-4D14-BDA0-9A82406B721E}">
  <sheetPr codeName="Sheet3"/>
  <dimension ref="A1:L102"/>
  <sheetViews>
    <sheetView rightToLeft="1" workbookViewId="0"/>
  </sheetViews>
  <sheetFormatPr defaultRowHeight="14.25" x14ac:dyDescent="0.2"/>
  <cols>
    <col min="1" max="1" width="18.875" bestFit="1" customWidth="1"/>
    <col min="2" max="2" width="16.25" bestFit="1" customWidth="1"/>
    <col min="3" max="3" width="13.875" bestFit="1" customWidth="1"/>
    <col min="4" max="4" width="12.625" bestFit="1" customWidth="1"/>
    <col min="5" max="5" width="9.375" bestFit="1" customWidth="1"/>
    <col min="6" max="6" width="13.75" bestFit="1" customWidth="1"/>
    <col min="7" max="7" width="8.125" bestFit="1" customWidth="1"/>
    <col min="8" max="8" width="10.625" bestFit="1" customWidth="1"/>
    <col min="9" max="9" width="15" bestFit="1" customWidth="1"/>
    <col min="10" max="10" width="9.375" bestFit="1" customWidth="1"/>
    <col min="11" max="11" width="18.875" bestFit="1" customWidth="1"/>
    <col min="12" max="12" width="9.375" bestFit="1" customWidth="1"/>
  </cols>
  <sheetData>
    <row r="1" spans="1:12" ht="21.95" customHeight="1" x14ac:dyDescent="0.2">
      <c r="A1" s="6" t="s">
        <v>140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ht="15" x14ac:dyDescent="0.2">
      <c r="A2" s="2" t="s">
        <v>4</v>
      </c>
      <c r="B2" s="2" t="s">
        <v>5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  <c r="L2" s="2" t="s">
        <v>15</v>
      </c>
    </row>
    <row r="3" spans="1:12" x14ac:dyDescent="0.2">
      <c r="A3" s="3">
        <v>45809</v>
      </c>
      <c r="B3" s="1" t="s">
        <v>22</v>
      </c>
      <c r="C3" s="1" t="s">
        <v>17</v>
      </c>
      <c r="D3" s="1" t="s">
        <v>23</v>
      </c>
      <c r="E3" s="1">
        <v>5</v>
      </c>
      <c r="F3" s="1">
        <v>4931</v>
      </c>
      <c r="G3" s="1">
        <v>25</v>
      </c>
      <c r="H3" s="4">
        <v>24630</v>
      </c>
      <c r="I3" s="1" t="s">
        <v>24</v>
      </c>
      <c r="J3" s="1" t="s">
        <v>20</v>
      </c>
      <c r="K3" s="1" t="s">
        <v>2</v>
      </c>
      <c r="L3" s="1"/>
    </row>
    <row r="4" spans="1:12" x14ac:dyDescent="0.2">
      <c r="A4" s="3">
        <v>45809</v>
      </c>
      <c r="B4" s="1" t="s">
        <v>57</v>
      </c>
      <c r="C4" s="1" t="s">
        <v>33</v>
      </c>
      <c r="D4" s="1" t="s">
        <v>38</v>
      </c>
      <c r="E4" s="1">
        <v>7</v>
      </c>
      <c r="F4" s="1">
        <v>3153</v>
      </c>
      <c r="G4" s="1">
        <v>50</v>
      </c>
      <c r="H4" s="4">
        <v>22021</v>
      </c>
      <c r="I4" s="1" t="s">
        <v>35</v>
      </c>
      <c r="J4" s="1" t="s">
        <v>27</v>
      </c>
      <c r="K4" s="1" t="s">
        <v>30</v>
      </c>
      <c r="L4" s="1"/>
    </row>
    <row r="5" spans="1:12" x14ac:dyDescent="0.2">
      <c r="A5" s="3">
        <v>45809</v>
      </c>
      <c r="B5" s="1" t="s">
        <v>58</v>
      </c>
      <c r="C5" s="1" t="s">
        <v>26</v>
      </c>
      <c r="D5" s="1" t="s">
        <v>50</v>
      </c>
      <c r="E5" s="1">
        <v>7</v>
      </c>
      <c r="F5" s="1">
        <v>3414</v>
      </c>
      <c r="G5" s="1">
        <v>50</v>
      </c>
      <c r="H5" s="4">
        <v>23848</v>
      </c>
      <c r="I5" s="1" t="s">
        <v>24</v>
      </c>
      <c r="J5" s="1" t="s">
        <v>27</v>
      </c>
      <c r="K5" s="1" t="s">
        <v>30</v>
      </c>
      <c r="L5" s="1" t="s">
        <v>31</v>
      </c>
    </row>
    <row r="6" spans="1:12" x14ac:dyDescent="0.2">
      <c r="A6" s="3">
        <v>45809</v>
      </c>
      <c r="B6" s="1" t="s">
        <v>60</v>
      </c>
      <c r="C6" s="1" t="s">
        <v>54</v>
      </c>
      <c r="D6" s="1" t="s">
        <v>44</v>
      </c>
      <c r="E6" s="1">
        <v>10</v>
      </c>
      <c r="F6" s="1">
        <v>353</v>
      </c>
      <c r="G6" s="1">
        <v>50</v>
      </c>
      <c r="H6" s="4">
        <v>3480</v>
      </c>
      <c r="I6" s="1" t="s">
        <v>35</v>
      </c>
      <c r="J6" s="1" t="s">
        <v>27</v>
      </c>
      <c r="K6" s="1" t="s">
        <v>30</v>
      </c>
      <c r="L6" s="1" t="s">
        <v>31</v>
      </c>
    </row>
    <row r="7" spans="1:12" x14ac:dyDescent="0.2">
      <c r="A7" s="3">
        <v>45809</v>
      </c>
      <c r="B7" s="1" t="s">
        <v>68</v>
      </c>
      <c r="C7" s="1" t="s">
        <v>17</v>
      </c>
      <c r="D7" s="1" t="s">
        <v>23</v>
      </c>
      <c r="E7" s="1">
        <v>9</v>
      </c>
      <c r="F7" s="1">
        <v>3179</v>
      </c>
      <c r="G7" s="1">
        <v>200</v>
      </c>
      <c r="H7" s="4">
        <v>28411</v>
      </c>
      <c r="I7" s="1" t="s">
        <v>19</v>
      </c>
      <c r="J7" s="1" t="s">
        <v>36</v>
      </c>
      <c r="K7" s="1" t="s">
        <v>2</v>
      </c>
      <c r="L7" s="1" t="s">
        <v>31</v>
      </c>
    </row>
    <row r="8" spans="1:12" x14ac:dyDescent="0.2">
      <c r="A8" s="3">
        <v>45809</v>
      </c>
      <c r="B8" s="1" t="s">
        <v>105</v>
      </c>
      <c r="C8" s="1" t="s">
        <v>40</v>
      </c>
      <c r="D8" s="1" t="s">
        <v>38</v>
      </c>
      <c r="E8" s="1">
        <v>2</v>
      </c>
      <c r="F8" s="1">
        <v>4883</v>
      </c>
      <c r="G8" s="1">
        <v>50</v>
      </c>
      <c r="H8" s="4">
        <v>9716</v>
      </c>
      <c r="I8" s="1" t="s">
        <v>35</v>
      </c>
      <c r="J8" s="1" t="s">
        <v>36</v>
      </c>
      <c r="K8" s="1" t="s">
        <v>21</v>
      </c>
      <c r="L8" s="1"/>
    </row>
    <row r="9" spans="1:12" x14ac:dyDescent="0.2">
      <c r="A9" s="3">
        <v>45809</v>
      </c>
      <c r="B9" s="1" t="s">
        <v>108</v>
      </c>
      <c r="C9" s="1" t="s">
        <v>26</v>
      </c>
      <c r="D9" s="1" t="s">
        <v>29</v>
      </c>
      <c r="E9" s="1">
        <v>7</v>
      </c>
      <c r="F9" s="1">
        <v>3909</v>
      </c>
      <c r="G9" s="1">
        <v>25</v>
      </c>
      <c r="H9" s="4">
        <v>27338</v>
      </c>
      <c r="I9" s="1" t="s">
        <v>35</v>
      </c>
      <c r="J9" s="1" t="s">
        <v>36</v>
      </c>
      <c r="K9" s="1" t="s">
        <v>30</v>
      </c>
      <c r="L9" s="1"/>
    </row>
    <row r="10" spans="1:12" x14ac:dyDescent="0.2">
      <c r="A10" s="3">
        <v>45809</v>
      </c>
      <c r="B10" s="1" t="s">
        <v>128</v>
      </c>
      <c r="C10" s="1" t="s">
        <v>26</v>
      </c>
      <c r="D10" s="1" t="s">
        <v>42</v>
      </c>
      <c r="E10" s="1">
        <v>4</v>
      </c>
      <c r="F10" s="1">
        <v>2307</v>
      </c>
      <c r="G10" s="1">
        <v>25</v>
      </c>
      <c r="H10" s="4">
        <v>9203</v>
      </c>
      <c r="I10" s="1" t="s">
        <v>35</v>
      </c>
      <c r="J10" s="1" t="s">
        <v>36</v>
      </c>
      <c r="K10" s="1" t="s">
        <v>3</v>
      </c>
      <c r="L10" s="1"/>
    </row>
    <row r="11" spans="1:12" x14ac:dyDescent="0.2">
      <c r="A11" s="3">
        <v>45810</v>
      </c>
      <c r="B11" s="1" t="s">
        <v>16</v>
      </c>
      <c r="C11" s="1" t="s">
        <v>17</v>
      </c>
      <c r="D11" s="1" t="s">
        <v>18</v>
      </c>
      <c r="E11" s="1">
        <v>1</v>
      </c>
      <c r="F11" s="1">
        <v>4081</v>
      </c>
      <c r="G11" s="1">
        <v>0</v>
      </c>
      <c r="H11" s="4">
        <v>4081</v>
      </c>
      <c r="I11" s="1" t="s">
        <v>19</v>
      </c>
      <c r="J11" s="1" t="s">
        <v>20</v>
      </c>
      <c r="K11" s="1" t="s">
        <v>21</v>
      </c>
      <c r="L11" s="1"/>
    </row>
    <row r="12" spans="1:12" x14ac:dyDescent="0.2">
      <c r="A12" s="3">
        <v>45810</v>
      </c>
      <c r="B12" s="1" t="s">
        <v>81</v>
      </c>
      <c r="C12" s="1" t="s">
        <v>54</v>
      </c>
      <c r="D12" s="1" t="s">
        <v>18</v>
      </c>
      <c r="E12" s="1">
        <v>8</v>
      </c>
      <c r="F12" s="1">
        <v>4389</v>
      </c>
      <c r="G12" s="1">
        <v>50</v>
      </c>
      <c r="H12" s="4">
        <v>35062</v>
      </c>
      <c r="I12" s="1" t="s">
        <v>19</v>
      </c>
      <c r="J12" s="1" t="s">
        <v>36</v>
      </c>
      <c r="K12" s="1" t="s">
        <v>21</v>
      </c>
      <c r="L12" s="1"/>
    </row>
    <row r="13" spans="1:12" x14ac:dyDescent="0.2">
      <c r="A13" s="3">
        <v>45810</v>
      </c>
      <c r="B13" s="1" t="s">
        <v>112</v>
      </c>
      <c r="C13" s="1" t="s">
        <v>26</v>
      </c>
      <c r="D13" s="1" t="s">
        <v>29</v>
      </c>
      <c r="E13" s="1">
        <v>2</v>
      </c>
      <c r="F13" s="1">
        <v>4128</v>
      </c>
      <c r="G13" s="1">
        <v>200</v>
      </c>
      <c r="H13" s="4">
        <v>8056</v>
      </c>
      <c r="I13" s="1" t="s">
        <v>35</v>
      </c>
      <c r="J13" s="1" t="s">
        <v>20</v>
      </c>
      <c r="K13" s="1" t="s">
        <v>2</v>
      </c>
      <c r="L13" s="1"/>
    </row>
    <row r="14" spans="1:12" x14ac:dyDescent="0.2">
      <c r="A14" s="3">
        <v>45810</v>
      </c>
      <c r="B14" s="1" t="s">
        <v>138</v>
      </c>
      <c r="C14" s="1" t="s">
        <v>33</v>
      </c>
      <c r="D14" s="1" t="s">
        <v>50</v>
      </c>
      <c r="E14" s="1">
        <v>5</v>
      </c>
      <c r="F14" s="1">
        <v>2612</v>
      </c>
      <c r="G14" s="1">
        <v>200</v>
      </c>
      <c r="H14" s="4">
        <v>12860</v>
      </c>
      <c r="I14" s="1" t="s">
        <v>24</v>
      </c>
      <c r="J14" s="1" t="s">
        <v>20</v>
      </c>
      <c r="K14" s="1" t="s">
        <v>21</v>
      </c>
      <c r="L14" s="1" t="s">
        <v>31</v>
      </c>
    </row>
    <row r="15" spans="1:12" x14ac:dyDescent="0.2">
      <c r="A15" s="3">
        <v>45811</v>
      </c>
      <c r="B15" s="1" t="s">
        <v>98</v>
      </c>
      <c r="C15" s="1" t="s">
        <v>26</v>
      </c>
      <c r="D15" s="1" t="s">
        <v>44</v>
      </c>
      <c r="E15" s="1">
        <v>2</v>
      </c>
      <c r="F15" s="1">
        <v>627</v>
      </c>
      <c r="G15" s="1">
        <v>0</v>
      </c>
      <c r="H15" s="4">
        <v>1254</v>
      </c>
      <c r="I15" s="1" t="s">
        <v>35</v>
      </c>
      <c r="J15" s="1" t="s">
        <v>20</v>
      </c>
      <c r="K15" s="1" t="s">
        <v>30</v>
      </c>
      <c r="L15" s="1" t="s">
        <v>31</v>
      </c>
    </row>
    <row r="16" spans="1:12" x14ac:dyDescent="0.2">
      <c r="A16" s="3">
        <v>45812</v>
      </c>
      <c r="B16" s="1" t="s">
        <v>49</v>
      </c>
      <c r="C16" s="1" t="s">
        <v>26</v>
      </c>
      <c r="D16" s="1" t="s">
        <v>50</v>
      </c>
      <c r="E16" s="1">
        <v>5</v>
      </c>
      <c r="F16" s="1">
        <v>3226</v>
      </c>
      <c r="G16" s="1">
        <v>50</v>
      </c>
      <c r="H16" s="4">
        <v>16080</v>
      </c>
      <c r="I16" s="1" t="s">
        <v>19</v>
      </c>
      <c r="J16" s="1" t="s">
        <v>20</v>
      </c>
      <c r="K16" s="1" t="s">
        <v>21</v>
      </c>
      <c r="L16" s="1" t="s">
        <v>31</v>
      </c>
    </row>
    <row r="17" spans="1:12" x14ac:dyDescent="0.2">
      <c r="A17" s="3">
        <v>45812</v>
      </c>
      <c r="B17" s="1" t="s">
        <v>85</v>
      </c>
      <c r="C17" s="1" t="s">
        <v>54</v>
      </c>
      <c r="D17" s="1" t="s">
        <v>47</v>
      </c>
      <c r="E17" s="1">
        <v>1</v>
      </c>
      <c r="F17" s="1">
        <v>1965</v>
      </c>
      <c r="G17" s="1">
        <v>50</v>
      </c>
      <c r="H17" s="4">
        <v>1915</v>
      </c>
      <c r="I17" s="1" t="s">
        <v>19</v>
      </c>
      <c r="J17" s="1" t="s">
        <v>20</v>
      </c>
      <c r="K17" s="1" t="s">
        <v>2</v>
      </c>
      <c r="L17" s="1"/>
    </row>
    <row r="18" spans="1:12" x14ac:dyDescent="0.2">
      <c r="A18" s="3">
        <v>45813</v>
      </c>
      <c r="B18" s="1" t="s">
        <v>28</v>
      </c>
      <c r="C18" s="1" t="s">
        <v>26</v>
      </c>
      <c r="D18" s="1" t="s">
        <v>29</v>
      </c>
      <c r="E18" s="1">
        <v>3</v>
      </c>
      <c r="F18" s="1">
        <v>3232</v>
      </c>
      <c r="G18" s="1">
        <v>0</v>
      </c>
      <c r="H18" s="4">
        <v>9696</v>
      </c>
      <c r="I18" s="1" t="s">
        <v>19</v>
      </c>
      <c r="J18" s="1" t="s">
        <v>27</v>
      </c>
      <c r="K18" s="1" t="s">
        <v>30</v>
      </c>
      <c r="L18" s="1" t="s">
        <v>31</v>
      </c>
    </row>
    <row r="19" spans="1:12" x14ac:dyDescent="0.2">
      <c r="A19" s="3">
        <v>45813</v>
      </c>
      <c r="B19" s="1" t="s">
        <v>51</v>
      </c>
      <c r="C19" s="1" t="s">
        <v>26</v>
      </c>
      <c r="D19" s="1" t="s">
        <v>38</v>
      </c>
      <c r="E19" s="1">
        <v>7</v>
      </c>
      <c r="F19" s="1">
        <v>1866</v>
      </c>
      <c r="G19" s="1">
        <v>0</v>
      </c>
      <c r="H19" s="4">
        <v>13062</v>
      </c>
      <c r="I19" s="1" t="s">
        <v>35</v>
      </c>
      <c r="J19" s="1" t="s">
        <v>27</v>
      </c>
      <c r="K19" s="1" t="s">
        <v>3</v>
      </c>
      <c r="L19" s="1"/>
    </row>
    <row r="20" spans="1:12" x14ac:dyDescent="0.2">
      <c r="A20" s="3">
        <v>45813</v>
      </c>
      <c r="B20" s="1" t="s">
        <v>82</v>
      </c>
      <c r="C20" s="1" t="s">
        <v>26</v>
      </c>
      <c r="D20" s="1" t="s">
        <v>42</v>
      </c>
      <c r="E20" s="1">
        <v>9</v>
      </c>
      <c r="F20" s="1">
        <v>3317</v>
      </c>
      <c r="G20" s="1">
        <v>25</v>
      </c>
      <c r="H20" s="4">
        <v>29828</v>
      </c>
      <c r="I20" s="1" t="s">
        <v>19</v>
      </c>
      <c r="J20" s="1" t="s">
        <v>20</v>
      </c>
      <c r="K20" s="1" t="s">
        <v>21</v>
      </c>
      <c r="L20" s="1" t="s">
        <v>31</v>
      </c>
    </row>
    <row r="21" spans="1:12" x14ac:dyDescent="0.2">
      <c r="A21" s="3">
        <v>45814</v>
      </c>
      <c r="B21" s="1" t="s">
        <v>86</v>
      </c>
      <c r="C21" s="1" t="s">
        <v>17</v>
      </c>
      <c r="D21" s="1" t="s">
        <v>29</v>
      </c>
      <c r="E21" s="1">
        <v>8</v>
      </c>
      <c r="F21" s="1">
        <v>2630</v>
      </c>
      <c r="G21" s="1">
        <v>100</v>
      </c>
      <c r="H21" s="4">
        <v>20940</v>
      </c>
      <c r="I21" s="1" t="s">
        <v>24</v>
      </c>
      <c r="J21" s="1" t="s">
        <v>20</v>
      </c>
      <c r="K21" s="1" t="s">
        <v>30</v>
      </c>
      <c r="L21" s="1"/>
    </row>
    <row r="22" spans="1:12" x14ac:dyDescent="0.2">
      <c r="A22" s="3">
        <v>45815</v>
      </c>
      <c r="B22" s="1" t="s">
        <v>77</v>
      </c>
      <c r="C22" s="1" t="s">
        <v>40</v>
      </c>
      <c r="D22" s="1" t="s">
        <v>23</v>
      </c>
      <c r="E22" s="1">
        <v>3</v>
      </c>
      <c r="F22" s="1">
        <v>3480</v>
      </c>
      <c r="G22" s="1">
        <v>50</v>
      </c>
      <c r="H22" s="4">
        <v>10390</v>
      </c>
      <c r="I22" s="1" t="s">
        <v>24</v>
      </c>
      <c r="J22" s="1" t="s">
        <v>36</v>
      </c>
      <c r="K22" s="1" t="s">
        <v>2</v>
      </c>
      <c r="L22" s="1" t="s">
        <v>31</v>
      </c>
    </row>
    <row r="23" spans="1:12" x14ac:dyDescent="0.2">
      <c r="A23" s="3">
        <v>45815</v>
      </c>
      <c r="B23" s="1" t="s">
        <v>97</v>
      </c>
      <c r="C23" s="1" t="s">
        <v>40</v>
      </c>
      <c r="D23" s="1" t="s">
        <v>29</v>
      </c>
      <c r="E23" s="1">
        <v>6</v>
      </c>
      <c r="F23" s="1">
        <v>4752</v>
      </c>
      <c r="G23" s="1">
        <v>200</v>
      </c>
      <c r="H23" s="4">
        <v>28312</v>
      </c>
      <c r="I23" s="1" t="s">
        <v>19</v>
      </c>
      <c r="J23" s="1" t="s">
        <v>27</v>
      </c>
      <c r="K23" s="1" t="s">
        <v>21</v>
      </c>
      <c r="L23" s="1"/>
    </row>
    <row r="24" spans="1:12" x14ac:dyDescent="0.2">
      <c r="A24" s="3">
        <v>45815</v>
      </c>
      <c r="B24" s="1" t="s">
        <v>127</v>
      </c>
      <c r="C24" s="1" t="s">
        <v>40</v>
      </c>
      <c r="D24" s="1" t="s">
        <v>29</v>
      </c>
      <c r="E24" s="1">
        <v>3</v>
      </c>
      <c r="F24" s="1">
        <v>2392</v>
      </c>
      <c r="G24" s="1">
        <v>25</v>
      </c>
      <c r="H24" s="4">
        <v>7151</v>
      </c>
      <c r="I24" s="1" t="s">
        <v>19</v>
      </c>
      <c r="J24" s="1" t="s">
        <v>27</v>
      </c>
      <c r="K24" s="1" t="s">
        <v>2</v>
      </c>
      <c r="L24" s="1"/>
    </row>
    <row r="25" spans="1:12" x14ac:dyDescent="0.2">
      <c r="A25" s="3">
        <v>45815</v>
      </c>
      <c r="B25" s="1" t="s">
        <v>137</v>
      </c>
      <c r="C25" s="1" t="s">
        <v>17</v>
      </c>
      <c r="D25" s="1" t="s">
        <v>42</v>
      </c>
      <c r="E25" s="1">
        <v>4</v>
      </c>
      <c r="F25" s="1">
        <v>1201</v>
      </c>
      <c r="G25" s="1">
        <v>50</v>
      </c>
      <c r="H25" s="4">
        <v>4754</v>
      </c>
      <c r="I25" s="1" t="s">
        <v>35</v>
      </c>
      <c r="J25" s="1" t="s">
        <v>36</v>
      </c>
      <c r="K25" s="1" t="s">
        <v>2</v>
      </c>
      <c r="L25" s="1"/>
    </row>
    <row r="26" spans="1:12" x14ac:dyDescent="0.2">
      <c r="A26" s="3">
        <v>45816</v>
      </c>
      <c r="B26" s="1" t="s">
        <v>41</v>
      </c>
      <c r="C26" s="1" t="s">
        <v>26</v>
      </c>
      <c r="D26" s="1" t="s">
        <v>42</v>
      </c>
      <c r="E26" s="1">
        <v>2</v>
      </c>
      <c r="F26" s="1">
        <v>3490</v>
      </c>
      <c r="G26" s="1">
        <v>25</v>
      </c>
      <c r="H26" s="4">
        <v>6955</v>
      </c>
      <c r="I26" s="1" t="s">
        <v>24</v>
      </c>
      <c r="J26" s="1" t="s">
        <v>20</v>
      </c>
      <c r="K26" s="1" t="s">
        <v>3</v>
      </c>
      <c r="L26" s="1"/>
    </row>
    <row r="27" spans="1:12" x14ac:dyDescent="0.2">
      <c r="A27" s="3">
        <v>45817</v>
      </c>
      <c r="B27" s="1" t="s">
        <v>69</v>
      </c>
      <c r="C27" s="1" t="s">
        <v>40</v>
      </c>
      <c r="D27" s="1" t="s">
        <v>29</v>
      </c>
      <c r="E27" s="1">
        <v>4</v>
      </c>
      <c r="F27" s="1">
        <v>3527</v>
      </c>
      <c r="G27" s="1">
        <v>100</v>
      </c>
      <c r="H27" s="4">
        <v>14008</v>
      </c>
      <c r="I27" s="1" t="s">
        <v>24</v>
      </c>
      <c r="J27" s="1" t="s">
        <v>20</v>
      </c>
      <c r="K27" s="1" t="s">
        <v>3</v>
      </c>
      <c r="L27" s="1"/>
    </row>
    <row r="28" spans="1:12" x14ac:dyDescent="0.2">
      <c r="A28" s="3">
        <v>45817</v>
      </c>
      <c r="B28" s="1" t="s">
        <v>70</v>
      </c>
      <c r="C28" s="1" t="s">
        <v>17</v>
      </c>
      <c r="D28" s="1" t="s">
        <v>23</v>
      </c>
      <c r="E28" s="1">
        <v>6</v>
      </c>
      <c r="F28" s="1">
        <v>1705</v>
      </c>
      <c r="G28" s="1">
        <v>0</v>
      </c>
      <c r="H28" s="4">
        <v>10230</v>
      </c>
      <c r="I28" s="1" t="s">
        <v>19</v>
      </c>
      <c r="J28" s="1" t="s">
        <v>27</v>
      </c>
      <c r="K28" s="1" t="s">
        <v>3</v>
      </c>
      <c r="L28" s="1" t="s">
        <v>31</v>
      </c>
    </row>
    <row r="29" spans="1:12" x14ac:dyDescent="0.2">
      <c r="A29" s="3">
        <v>45817</v>
      </c>
      <c r="B29" s="1" t="s">
        <v>73</v>
      </c>
      <c r="C29" s="1" t="s">
        <v>54</v>
      </c>
      <c r="D29" s="1" t="s">
        <v>42</v>
      </c>
      <c r="E29" s="1">
        <v>4</v>
      </c>
      <c r="F29" s="1">
        <v>4700</v>
      </c>
      <c r="G29" s="1">
        <v>50</v>
      </c>
      <c r="H29" s="4">
        <v>18750</v>
      </c>
      <c r="I29" s="1" t="s">
        <v>35</v>
      </c>
      <c r="J29" s="1" t="s">
        <v>27</v>
      </c>
      <c r="K29" s="1" t="s">
        <v>30</v>
      </c>
      <c r="L29" s="1" t="s">
        <v>31</v>
      </c>
    </row>
    <row r="30" spans="1:12" x14ac:dyDescent="0.2">
      <c r="A30" s="3">
        <v>45817</v>
      </c>
      <c r="B30" s="1" t="s">
        <v>122</v>
      </c>
      <c r="C30" s="1" t="s">
        <v>17</v>
      </c>
      <c r="D30" s="1" t="s">
        <v>23</v>
      </c>
      <c r="E30" s="1">
        <v>5</v>
      </c>
      <c r="F30" s="1">
        <v>333</v>
      </c>
      <c r="G30" s="1">
        <v>50</v>
      </c>
      <c r="H30" s="4">
        <v>1615</v>
      </c>
      <c r="I30" s="1" t="s">
        <v>35</v>
      </c>
      <c r="J30" s="1" t="s">
        <v>20</v>
      </c>
      <c r="K30" s="1" t="s">
        <v>21</v>
      </c>
      <c r="L30" s="1" t="s">
        <v>31</v>
      </c>
    </row>
    <row r="31" spans="1:12" x14ac:dyDescent="0.2">
      <c r="A31" s="3">
        <v>45817</v>
      </c>
      <c r="B31" s="1" t="s">
        <v>125</v>
      </c>
      <c r="C31" s="1" t="s">
        <v>54</v>
      </c>
      <c r="D31" s="1" t="s">
        <v>42</v>
      </c>
      <c r="E31" s="1">
        <v>4</v>
      </c>
      <c r="F31" s="1">
        <v>1961</v>
      </c>
      <c r="G31" s="1">
        <v>200</v>
      </c>
      <c r="H31" s="4">
        <v>7644</v>
      </c>
      <c r="I31" s="1" t="s">
        <v>24</v>
      </c>
      <c r="J31" s="1" t="s">
        <v>27</v>
      </c>
      <c r="K31" s="1" t="s">
        <v>21</v>
      </c>
      <c r="L31" s="1"/>
    </row>
    <row r="32" spans="1:12" x14ac:dyDescent="0.2">
      <c r="A32" s="3">
        <v>45818</v>
      </c>
      <c r="B32" s="1" t="s">
        <v>80</v>
      </c>
      <c r="C32" s="1" t="s">
        <v>17</v>
      </c>
      <c r="D32" s="1" t="s">
        <v>50</v>
      </c>
      <c r="E32" s="1">
        <v>1</v>
      </c>
      <c r="F32" s="1">
        <v>3810</v>
      </c>
      <c r="G32" s="1">
        <v>50</v>
      </c>
      <c r="H32" s="4">
        <v>3760</v>
      </c>
      <c r="I32" s="1" t="s">
        <v>19</v>
      </c>
      <c r="J32" s="1" t="s">
        <v>20</v>
      </c>
      <c r="K32" s="1" t="s">
        <v>3</v>
      </c>
      <c r="L32" s="1" t="s">
        <v>31</v>
      </c>
    </row>
    <row r="33" spans="1:12" x14ac:dyDescent="0.2">
      <c r="A33" s="3">
        <v>45818</v>
      </c>
      <c r="B33" s="1" t="s">
        <v>95</v>
      </c>
      <c r="C33" s="1" t="s">
        <v>54</v>
      </c>
      <c r="D33" s="1" t="s">
        <v>79</v>
      </c>
      <c r="E33" s="1">
        <v>5</v>
      </c>
      <c r="F33" s="1">
        <v>792</v>
      </c>
      <c r="G33" s="1">
        <v>200</v>
      </c>
      <c r="H33" s="4">
        <v>3760</v>
      </c>
      <c r="I33" s="1" t="s">
        <v>24</v>
      </c>
      <c r="J33" s="1" t="s">
        <v>36</v>
      </c>
      <c r="K33" s="1" t="s">
        <v>21</v>
      </c>
      <c r="L33" s="1"/>
    </row>
    <row r="34" spans="1:12" x14ac:dyDescent="0.2">
      <c r="A34" s="3">
        <v>45819</v>
      </c>
      <c r="B34" s="1" t="s">
        <v>46</v>
      </c>
      <c r="C34" s="1" t="s">
        <v>33</v>
      </c>
      <c r="D34" s="1" t="s">
        <v>47</v>
      </c>
      <c r="E34" s="1">
        <v>2</v>
      </c>
      <c r="F34" s="1">
        <v>1555</v>
      </c>
      <c r="G34" s="1">
        <v>100</v>
      </c>
      <c r="H34" s="4">
        <v>3010</v>
      </c>
      <c r="I34" s="1" t="s">
        <v>24</v>
      </c>
      <c r="J34" s="1" t="s">
        <v>27</v>
      </c>
      <c r="K34" s="1" t="s">
        <v>3</v>
      </c>
      <c r="L34" s="1"/>
    </row>
    <row r="35" spans="1:12" x14ac:dyDescent="0.2">
      <c r="A35" s="3">
        <v>45819</v>
      </c>
      <c r="B35" s="1" t="s">
        <v>56</v>
      </c>
      <c r="C35" s="1" t="s">
        <v>40</v>
      </c>
      <c r="D35" s="1" t="s">
        <v>29</v>
      </c>
      <c r="E35" s="1">
        <v>6</v>
      </c>
      <c r="F35" s="1">
        <v>2357</v>
      </c>
      <c r="G35" s="1">
        <v>100</v>
      </c>
      <c r="H35" s="4">
        <v>14042</v>
      </c>
      <c r="I35" s="1" t="s">
        <v>19</v>
      </c>
      <c r="J35" s="1" t="s">
        <v>36</v>
      </c>
      <c r="K35" s="1" t="s">
        <v>3</v>
      </c>
      <c r="L35" s="1"/>
    </row>
    <row r="36" spans="1:12" x14ac:dyDescent="0.2">
      <c r="A36" s="3">
        <v>45819</v>
      </c>
      <c r="B36" s="1" t="s">
        <v>124</v>
      </c>
      <c r="C36" s="1" t="s">
        <v>40</v>
      </c>
      <c r="D36" s="1" t="s">
        <v>44</v>
      </c>
      <c r="E36" s="1">
        <v>8</v>
      </c>
      <c r="F36" s="1">
        <v>2874</v>
      </c>
      <c r="G36" s="1">
        <v>100</v>
      </c>
      <c r="H36" s="4">
        <v>22892</v>
      </c>
      <c r="I36" s="1" t="s">
        <v>24</v>
      </c>
      <c r="J36" s="1" t="s">
        <v>36</v>
      </c>
      <c r="K36" s="1" t="s">
        <v>30</v>
      </c>
      <c r="L36" s="1"/>
    </row>
    <row r="37" spans="1:12" x14ac:dyDescent="0.2">
      <c r="A37" s="3">
        <v>45820</v>
      </c>
      <c r="B37" s="1" t="s">
        <v>34</v>
      </c>
      <c r="C37" s="1" t="s">
        <v>17</v>
      </c>
      <c r="D37" s="1" t="s">
        <v>18</v>
      </c>
      <c r="E37" s="1">
        <v>6</v>
      </c>
      <c r="F37" s="1">
        <v>2008</v>
      </c>
      <c r="G37" s="1">
        <v>100</v>
      </c>
      <c r="H37" s="4">
        <v>11948</v>
      </c>
      <c r="I37" s="1" t="s">
        <v>35</v>
      </c>
      <c r="J37" s="1" t="s">
        <v>36</v>
      </c>
      <c r="K37" s="1" t="s">
        <v>2</v>
      </c>
      <c r="L37" s="1"/>
    </row>
    <row r="38" spans="1:12" x14ac:dyDescent="0.2">
      <c r="A38" s="3">
        <v>45820</v>
      </c>
      <c r="B38" s="1" t="s">
        <v>37</v>
      </c>
      <c r="C38" s="1" t="s">
        <v>17</v>
      </c>
      <c r="D38" s="1" t="s">
        <v>38</v>
      </c>
      <c r="E38" s="1">
        <v>1</v>
      </c>
      <c r="F38" s="1">
        <v>1997</v>
      </c>
      <c r="G38" s="1">
        <v>100</v>
      </c>
      <c r="H38" s="4">
        <v>1897</v>
      </c>
      <c r="I38" s="1" t="s">
        <v>35</v>
      </c>
      <c r="J38" s="1" t="s">
        <v>27</v>
      </c>
      <c r="K38" s="1" t="s">
        <v>2</v>
      </c>
      <c r="L38" s="1"/>
    </row>
    <row r="39" spans="1:12" x14ac:dyDescent="0.2">
      <c r="A39" s="3">
        <v>45820</v>
      </c>
      <c r="B39" s="1" t="s">
        <v>39</v>
      </c>
      <c r="C39" s="1" t="s">
        <v>40</v>
      </c>
      <c r="D39" s="1" t="s">
        <v>38</v>
      </c>
      <c r="E39" s="1">
        <v>4</v>
      </c>
      <c r="F39" s="1">
        <v>4174</v>
      </c>
      <c r="G39" s="1">
        <v>200</v>
      </c>
      <c r="H39" s="4">
        <v>16496</v>
      </c>
      <c r="I39" s="1" t="s">
        <v>35</v>
      </c>
      <c r="J39" s="1" t="s">
        <v>20</v>
      </c>
      <c r="K39" s="1" t="s">
        <v>21</v>
      </c>
      <c r="L39" s="1"/>
    </row>
    <row r="40" spans="1:12" x14ac:dyDescent="0.2">
      <c r="A40" s="3">
        <v>45820</v>
      </c>
      <c r="B40" s="1" t="s">
        <v>48</v>
      </c>
      <c r="C40" s="1" t="s">
        <v>40</v>
      </c>
      <c r="D40" s="1" t="s">
        <v>29</v>
      </c>
      <c r="E40" s="1">
        <v>3</v>
      </c>
      <c r="F40" s="1">
        <v>4785</v>
      </c>
      <c r="G40" s="1">
        <v>25</v>
      </c>
      <c r="H40" s="4">
        <v>14330</v>
      </c>
      <c r="I40" s="1" t="s">
        <v>19</v>
      </c>
      <c r="J40" s="1" t="s">
        <v>20</v>
      </c>
      <c r="K40" s="1" t="s">
        <v>30</v>
      </c>
      <c r="L40" s="1"/>
    </row>
    <row r="41" spans="1:12" x14ac:dyDescent="0.2">
      <c r="A41" s="3">
        <v>45820</v>
      </c>
      <c r="B41" s="1" t="s">
        <v>84</v>
      </c>
      <c r="C41" s="1" t="s">
        <v>17</v>
      </c>
      <c r="D41" s="1" t="s">
        <v>23</v>
      </c>
      <c r="E41" s="1">
        <v>1</v>
      </c>
      <c r="F41" s="1">
        <v>2098</v>
      </c>
      <c r="G41" s="1">
        <v>0</v>
      </c>
      <c r="H41" s="4">
        <v>2098</v>
      </c>
      <c r="I41" s="1" t="s">
        <v>19</v>
      </c>
      <c r="J41" s="1" t="s">
        <v>20</v>
      </c>
      <c r="K41" s="1" t="s">
        <v>2</v>
      </c>
      <c r="L41" s="1"/>
    </row>
    <row r="42" spans="1:12" x14ac:dyDescent="0.2">
      <c r="A42" s="3">
        <v>45821</v>
      </c>
      <c r="B42" s="1" t="s">
        <v>32</v>
      </c>
      <c r="C42" s="1" t="s">
        <v>33</v>
      </c>
      <c r="D42" s="1" t="s">
        <v>23</v>
      </c>
      <c r="E42" s="1">
        <v>6</v>
      </c>
      <c r="F42" s="1">
        <v>2321</v>
      </c>
      <c r="G42" s="1">
        <v>0</v>
      </c>
      <c r="H42" s="4">
        <v>13926</v>
      </c>
      <c r="I42" s="1" t="s">
        <v>24</v>
      </c>
      <c r="J42" s="1" t="s">
        <v>27</v>
      </c>
      <c r="K42" s="1" t="s">
        <v>2</v>
      </c>
      <c r="L42" s="1"/>
    </row>
    <row r="43" spans="1:12" x14ac:dyDescent="0.2">
      <c r="A43" s="3">
        <v>45821</v>
      </c>
      <c r="B43" s="1" t="s">
        <v>45</v>
      </c>
      <c r="C43" s="1" t="s">
        <v>17</v>
      </c>
      <c r="D43" s="1" t="s">
        <v>18</v>
      </c>
      <c r="E43" s="1">
        <v>8</v>
      </c>
      <c r="F43" s="1">
        <v>3218</v>
      </c>
      <c r="G43" s="1">
        <v>50</v>
      </c>
      <c r="H43" s="4">
        <v>25694</v>
      </c>
      <c r="I43" s="1" t="s">
        <v>19</v>
      </c>
      <c r="J43" s="1" t="s">
        <v>36</v>
      </c>
      <c r="K43" s="1" t="s">
        <v>30</v>
      </c>
      <c r="L43" s="1"/>
    </row>
    <row r="44" spans="1:12" x14ac:dyDescent="0.2">
      <c r="A44" s="3">
        <v>45821</v>
      </c>
      <c r="B44" s="1" t="s">
        <v>55</v>
      </c>
      <c r="C44" s="1" t="s">
        <v>26</v>
      </c>
      <c r="D44" s="1" t="s">
        <v>29</v>
      </c>
      <c r="E44" s="1">
        <v>5</v>
      </c>
      <c r="F44" s="1">
        <v>2657</v>
      </c>
      <c r="G44" s="1">
        <v>0</v>
      </c>
      <c r="H44" s="4">
        <v>13285</v>
      </c>
      <c r="I44" s="1" t="s">
        <v>19</v>
      </c>
      <c r="J44" s="1" t="s">
        <v>27</v>
      </c>
      <c r="K44" s="1" t="s">
        <v>21</v>
      </c>
      <c r="L44" s="1" t="s">
        <v>31</v>
      </c>
    </row>
    <row r="45" spans="1:12" x14ac:dyDescent="0.2">
      <c r="A45" s="3">
        <v>45821</v>
      </c>
      <c r="B45" s="1" t="s">
        <v>59</v>
      </c>
      <c r="C45" s="1" t="s">
        <v>54</v>
      </c>
      <c r="D45" s="1" t="s">
        <v>50</v>
      </c>
      <c r="E45" s="1">
        <v>7</v>
      </c>
      <c r="F45" s="1">
        <v>2182</v>
      </c>
      <c r="G45" s="1">
        <v>50</v>
      </c>
      <c r="H45" s="4">
        <v>15224</v>
      </c>
      <c r="I45" s="1" t="s">
        <v>24</v>
      </c>
      <c r="J45" s="1" t="s">
        <v>36</v>
      </c>
      <c r="K45" s="1" t="s">
        <v>2</v>
      </c>
      <c r="L45" s="1" t="s">
        <v>31</v>
      </c>
    </row>
    <row r="46" spans="1:12" x14ac:dyDescent="0.2">
      <c r="A46" s="3">
        <v>45821</v>
      </c>
      <c r="B46" s="1" t="s">
        <v>101</v>
      </c>
      <c r="C46" s="1" t="s">
        <v>33</v>
      </c>
      <c r="D46" s="1" t="s">
        <v>38</v>
      </c>
      <c r="E46" s="1">
        <v>2</v>
      </c>
      <c r="F46" s="1">
        <v>4269</v>
      </c>
      <c r="G46" s="1">
        <v>25</v>
      </c>
      <c r="H46" s="4">
        <v>8513</v>
      </c>
      <c r="I46" s="1" t="s">
        <v>24</v>
      </c>
      <c r="J46" s="1" t="s">
        <v>27</v>
      </c>
      <c r="K46" s="1" t="s">
        <v>30</v>
      </c>
      <c r="L46" s="1"/>
    </row>
    <row r="47" spans="1:12" x14ac:dyDescent="0.2">
      <c r="A47" s="3">
        <v>45821</v>
      </c>
      <c r="B47" s="1" t="s">
        <v>119</v>
      </c>
      <c r="C47" s="1" t="s">
        <v>26</v>
      </c>
      <c r="D47" s="1" t="s">
        <v>38</v>
      </c>
      <c r="E47" s="1">
        <v>9</v>
      </c>
      <c r="F47" s="1">
        <v>1661</v>
      </c>
      <c r="G47" s="1">
        <v>25</v>
      </c>
      <c r="H47" s="4">
        <v>14924</v>
      </c>
      <c r="I47" s="1" t="s">
        <v>24</v>
      </c>
      <c r="J47" s="1" t="s">
        <v>36</v>
      </c>
      <c r="K47" s="1" t="s">
        <v>2</v>
      </c>
      <c r="L47" s="1"/>
    </row>
    <row r="48" spans="1:12" x14ac:dyDescent="0.2">
      <c r="A48" s="3">
        <v>45822</v>
      </c>
      <c r="B48" s="1" t="s">
        <v>25</v>
      </c>
      <c r="C48" s="1" t="s">
        <v>26</v>
      </c>
      <c r="D48" s="1" t="s">
        <v>18</v>
      </c>
      <c r="E48" s="1">
        <v>6</v>
      </c>
      <c r="F48" s="1">
        <v>1677</v>
      </c>
      <c r="G48" s="1">
        <v>200</v>
      </c>
      <c r="H48" s="4">
        <v>9862</v>
      </c>
      <c r="I48" s="1" t="s">
        <v>24</v>
      </c>
      <c r="J48" s="1" t="s">
        <v>27</v>
      </c>
      <c r="K48" s="1" t="s">
        <v>2</v>
      </c>
      <c r="L48" s="1"/>
    </row>
    <row r="49" spans="1:12" x14ac:dyDescent="0.2">
      <c r="A49" s="3">
        <v>45822</v>
      </c>
      <c r="B49" s="1" t="s">
        <v>52</v>
      </c>
      <c r="C49" s="1" t="s">
        <v>33</v>
      </c>
      <c r="D49" s="1" t="s">
        <v>47</v>
      </c>
      <c r="E49" s="1">
        <v>3</v>
      </c>
      <c r="F49" s="1">
        <v>620</v>
      </c>
      <c r="G49" s="1">
        <v>100</v>
      </c>
      <c r="H49" s="4">
        <v>1760</v>
      </c>
      <c r="I49" s="1" t="s">
        <v>35</v>
      </c>
      <c r="J49" s="1" t="s">
        <v>27</v>
      </c>
      <c r="K49" s="1" t="s">
        <v>3</v>
      </c>
      <c r="L49" s="1" t="s">
        <v>31</v>
      </c>
    </row>
    <row r="50" spans="1:12" x14ac:dyDescent="0.2">
      <c r="A50" s="3">
        <v>45822</v>
      </c>
      <c r="B50" s="1" t="s">
        <v>102</v>
      </c>
      <c r="C50" s="1" t="s">
        <v>26</v>
      </c>
      <c r="D50" s="1" t="s">
        <v>18</v>
      </c>
      <c r="E50" s="1">
        <v>9</v>
      </c>
      <c r="F50" s="1">
        <v>4641</v>
      </c>
      <c r="G50" s="1">
        <v>25</v>
      </c>
      <c r="H50" s="4">
        <v>41744</v>
      </c>
      <c r="I50" s="1" t="s">
        <v>19</v>
      </c>
      <c r="J50" s="1" t="s">
        <v>36</v>
      </c>
      <c r="K50" s="1" t="s">
        <v>21</v>
      </c>
      <c r="L50" s="1"/>
    </row>
    <row r="51" spans="1:12" x14ac:dyDescent="0.2">
      <c r="A51" s="3">
        <v>45822</v>
      </c>
      <c r="B51" s="1" t="s">
        <v>115</v>
      </c>
      <c r="C51" s="1" t="s">
        <v>40</v>
      </c>
      <c r="D51" s="1" t="s">
        <v>38</v>
      </c>
      <c r="E51" s="1">
        <v>5</v>
      </c>
      <c r="F51" s="1">
        <v>3899</v>
      </c>
      <c r="G51" s="1">
        <v>50</v>
      </c>
      <c r="H51" s="4">
        <v>19445</v>
      </c>
      <c r="I51" s="1" t="s">
        <v>19</v>
      </c>
      <c r="J51" s="1" t="s">
        <v>20</v>
      </c>
      <c r="K51" s="1" t="s">
        <v>3</v>
      </c>
      <c r="L51" s="1"/>
    </row>
    <row r="52" spans="1:12" x14ac:dyDescent="0.2">
      <c r="A52" s="3">
        <v>45823</v>
      </c>
      <c r="B52" s="1" t="s">
        <v>87</v>
      </c>
      <c r="C52" s="1" t="s">
        <v>26</v>
      </c>
      <c r="D52" s="1" t="s">
        <v>42</v>
      </c>
      <c r="E52" s="1">
        <v>8</v>
      </c>
      <c r="F52" s="1">
        <v>1494</v>
      </c>
      <c r="G52" s="1">
        <v>0</v>
      </c>
      <c r="H52" s="4">
        <v>11952</v>
      </c>
      <c r="I52" s="1" t="s">
        <v>19</v>
      </c>
      <c r="J52" s="1" t="s">
        <v>36</v>
      </c>
      <c r="K52" s="1" t="s">
        <v>2</v>
      </c>
      <c r="L52" s="1"/>
    </row>
    <row r="53" spans="1:12" x14ac:dyDescent="0.2">
      <c r="A53" s="3">
        <v>45823</v>
      </c>
      <c r="B53" s="1" t="s">
        <v>116</v>
      </c>
      <c r="C53" s="1" t="s">
        <v>33</v>
      </c>
      <c r="D53" s="1" t="s">
        <v>79</v>
      </c>
      <c r="E53" s="1">
        <v>3</v>
      </c>
      <c r="F53" s="1">
        <v>673</v>
      </c>
      <c r="G53" s="1">
        <v>100</v>
      </c>
      <c r="H53" s="4">
        <v>1919</v>
      </c>
      <c r="I53" s="1" t="s">
        <v>19</v>
      </c>
      <c r="J53" s="1" t="s">
        <v>20</v>
      </c>
      <c r="K53" s="1" t="s">
        <v>30</v>
      </c>
      <c r="L53" s="1"/>
    </row>
    <row r="54" spans="1:12" x14ac:dyDescent="0.2">
      <c r="A54" s="3">
        <v>45823</v>
      </c>
      <c r="B54" s="1" t="s">
        <v>129</v>
      </c>
      <c r="C54" s="1" t="s">
        <v>54</v>
      </c>
      <c r="D54" s="1" t="s">
        <v>47</v>
      </c>
      <c r="E54" s="1">
        <v>3</v>
      </c>
      <c r="F54" s="1">
        <v>1889</v>
      </c>
      <c r="G54" s="1">
        <v>200</v>
      </c>
      <c r="H54" s="4">
        <v>5467</v>
      </c>
      <c r="I54" s="1" t="s">
        <v>19</v>
      </c>
      <c r="J54" s="1" t="s">
        <v>27</v>
      </c>
      <c r="K54" s="1" t="s">
        <v>3</v>
      </c>
      <c r="L54" s="1"/>
    </row>
    <row r="55" spans="1:12" x14ac:dyDescent="0.2">
      <c r="A55" s="3">
        <v>45825</v>
      </c>
      <c r="B55" s="1" t="s">
        <v>62</v>
      </c>
      <c r="C55" s="1" t="s">
        <v>54</v>
      </c>
      <c r="D55" s="1" t="s">
        <v>47</v>
      </c>
      <c r="E55" s="1">
        <v>9</v>
      </c>
      <c r="F55" s="1">
        <v>432</v>
      </c>
      <c r="G55" s="1">
        <v>25</v>
      </c>
      <c r="H55" s="4">
        <v>3863</v>
      </c>
      <c r="I55" s="1" t="s">
        <v>35</v>
      </c>
      <c r="J55" s="1" t="s">
        <v>20</v>
      </c>
      <c r="K55" s="1" t="s">
        <v>30</v>
      </c>
      <c r="L55" s="1"/>
    </row>
    <row r="56" spans="1:12" x14ac:dyDescent="0.2">
      <c r="A56" s="3">
        <v>45825</v>
      </c>
      <c r="B56" s="1" t="s">
        <v>114</v>
      </c>
      <c r="C56" s="1" t="s">
        <v>54</v>
      </c>
      <c r="D56" s="1" t="s">
        <v>18</v>
      </c>
      <c r="E56" s="1">
        <v>5</v>
      </c>
      <c r="F56" s="1">
        <v>1146</v>
      </c>
      <c r="G56" s="1">
        <v>200</v>
      </c>
      <c r="H56" s="4">
        <v>5530</v>
      </c>
      <c r="I56" s="1" t="s">
        <v>19</v>
      </c>
      <c r="J56" s="1" t="s">
        <v>27</v>
      </c>
      <c r="K56" s="1" t="s">
        <v>3</v>
      </c>
      <c r="L56" s="1" t="s">
        <v>31</v>
      </c>
    </row>
    <row r="57" spans="1:12" x14ac:dyDescent="0.2">
      <c r="A57" s="3">
        <v>45825</v>
      </c>
      <c r="B57" s="1" t="s">
        <v>117</v>
      </c>
      <c r="C57" s="1" t="s">
        <v>40</v>
      </c>
      <c r="D57" s="1" t="s">
        <v>18</v>
      </c>
      <c r="E57" s="1">
        <v>7</v>
      </c>
      <c r="F57" s="1">
        <v>3441</v>
      </c>
      <c r="G57" s="1">
        <v>100</v>
      </c>
      <c r="H57" s="4">
        <v>23987</v>
      </c>
      <c r="I57" s="1" t="s">
        <v>24</v>
      </c>
      <c r="J57" s="1" t="s">
        <v>36</v>
      </c>
      <c r="K57" s="1" t="s">
        <v>3</v>
      </c>
      <c r="L57" s="1"/>
    </row>
    <row r="58" spans="1:12" x14ac:dyDescent="0.2">
      <c r="A58" s="3">
        <v>45825</v>
      </c>
      <c r="B58" s="1" t="s">
        <v>135</v>
      </c>
      <c r="C58" s="1" t="s">
        <v>54</v>
      </c>
      <c r="D58" s="1" t="s">
        <v>29</v>
      </c>
      <c r="E58" s="1">
        <v>8</v>
      </c>
      <c r="F58" s="1">
        <v>630</v>
      </c>
      <c r="G58" s="1">
        <v>200</v>
      </c>
      <c r="H58" s="4">
        <v>4840</v>
      </c>
      <c r="I58" s="1" t="s">
        <v>19</v>
      </c>
      <c r="J58" s="1" t="s">
        <v>36</v>
      </c>
      <c r="K58" s="1" t="s">
        <v>30</v>
      </c>
      <c r="L58" s="1"/>
    </row>
    <row r="59" spans="1:12" x14ac:dyDescent="0.2">
      <c r="A59" s="3">
        <v>45826</v>
      </c>
      <c r="B59" s="1" t="s">
        <v>96</v>
      </c>
      <c r="C59" s="1" t="s">
        <v>54</v>
      </c>
      <c r="D59" s="1" t="s">
        <v>38</v>
      </c>
      <c r="E59" s="1">
        <v>9</v>
      </c>
      <c r="F59" s="1">
        <v>1028</v>
      </c>
      <c r="G59" s="1">
        <v>200</v>
      </c>
      <c r="H59" s="4">
        <v>9052</v>
      </c>
      <c r="I59" s="1" t="s">
        <v>35</v>
      </c>
      <c r="J59" s="1" t="s">
        <v>27</v>
      </c>
      <c r="K59" s="1" t="s">
        <v>30</v>
      </c>
      <c r="L59" s="1"/>
    </row>
    <row r="60" spans="1:12" x14ac:dyDescent="0.2">
      <c r="A60" s="3">
        <v>45826</v>
      </c>
      <c r="B60" s="1" t="s">
        <v>106</v>
      </c>
      <c r="C60" s="1" t="s">
        <v>17</v>
      </c>
      <c r="D60" s="1" t="s">
        <v>44</v>
      </c>
      <c r="E60" s="1">
        <v>8</v>
      </c>
      <c r="F60" s="1">
        <v>3999</v>
      </c>
      <c r="G60" s="1">
        <v>25</v>
      </c>
      <c r="H60" s="4">
        <v>31967</v>
      </c>
      <c r="I60" s="1" t="s">
        <v>35</v>
      </c>
      <c r="J60" s="1" t="s">
        <v>36</v>
      </c>
      <c r="K60" s="1" t="s">
        <v>21</v>
      </c>
      <c r="L60" s="1"/>
    </row>
    <row r="61" spans="1:12" x14ac:dyDescent="0.2">
      <c r="A61" s="3">
        <v>45827</v>
      </c>
      <c r="B61" s="1" t="s">
        <v>83</v>
      </c>
      <c r="C61" s="1" t="s">
        <v>54</v>
      </c>
      <c r="D61" s="1" t="s">
        <v>47</v>
      </c>
      <c r="E61" s="1">
        <v>3</v>
      </c>
      <c r="F61" s="1">
        <v>3088</v>
      </c>
      <c r="G61" s="1">
        <v>100</v>
      </c>
      <c r="H61" s="4">
        <v>9164</v>
      </c>
      <c r="I61" s="1" t="s">
        <v>24</v>
      </c>
      <c r="J61" s="1" t="s">
        <v>27</v>
      </c>
      <c r="K61" s="1" t="s">
        <v>3</v>
      </c>
      <c r="L61" s="1" t="s">
        <v>31</v>
      </c>
    </row>
    <row r="62" spans="1:12" x14ac:dyDescent="0.2">
      <c r="A62" s="3">
        <v>45827</v>
      </c>
      <c r="B62" s="1" t="s">
        <v>107</v>
      </c>
      <c r="C62" s="1" t="s">
        <v>33</v>
      </c>
      <c r="D62" s="1" t="s">
        <v>44</v>
      </c>
      <c r="E62" s="1">
        <v>10</v>
      </c>
      <c r="F62" s="1">
        <v>2686</v>
      </c>
      <c r="G62" s="1">
        <v>50</v>
      </c>
      <c r="H62" s="4">
        <v>26810</v>
      </c>
      <c r="I62" s="1" t="s">
        <v>24</v>
      </c>
      <c r="J62" s="1" t="s">
        <v>27</v>
      </c>
      <c r="K62" s="1" t="s">
        <v>30</v>
      </c>
      <c r="L62" s="1" t="s">
        <v>31</v>
      </c>
    </row>
    <row r="63" spans="1:12" x14ac:dyDescent="0.2">
      <c r="A63" s="3">
        <v>45827</v>
      </c>
      <c r="B63" s="1" t="s">
        <v>109</v>
      </c>
      <c r="C63" s="1" t="s">
        <v>54</v>
      </c>
      <c r="D63" s="1" t="s">
        <v>50</v>
      </c>
      <c r="E63" s="1">
        <v>9</v>
      </c>
      <c r="F63" s="1">
        <v>4204</v>
      </c>
      <c r="G63" s="1">
        <v>200</v>
      </c>
      <c r="H63" s="4">
        <v>37636</v>
      </c>
      <c r="I63" s="1" t="s">
        <v>24</v>
      </c>
      <c r="J63" s="1" t="s">
        <v>36</v>
      </c>
      <c r="K63" s="1" t="s">
        <v>21</v>
      </c>
      <c r="L63" s="1"/>
    </row>
    <row r="64" spans="1:12" x14ac:dyDescent="0.2">
      <c r="A64" s="3">
        <v>45827</v>
      </c>
      <c r="B64" s="1" t="s">
        <v>123</v>
      </c>
      <c r="C64" s="1" t="s">
        <v>40</v>
      </c>
      <c r="D64" s="1" t="s">
        <v>44</v>
      </c>
      <c r="E64" s="1">
        <v>3</v>
      </c>
      <c r="F64" s="1">
        <v>1910</v>
      </c>
      <c r="G64" s="1">
        <v>100</v>
      </c>
      <c r="H64" s="4">
        <v>5630</v>
      </c>
      <c r="I64" s="1" t="s">
        <v>19</v>
      </c>
      <c r="J64" s="1" t="s">
        <v>36</v>
      </c>
      <c r="K64" s="1" t="s">
        <v>30</v>
      </c>
      <c r="L64" s="1"/>
    </row>
    <row r="65" spans="1:12" x14ac:dyDescent="0.2">
      <c r="A65" s="3">
        <v>45827</v>
      </c>
      <c r="B65" s="1" t="s">
        <v>130</v>
      </c>
      <c r="C65" s="1" t="s">
        <v>26</v>
      </c>
      <c r="D65" s="1" t="s">
        <v>23</v>
      </c>
      <c r="E65" s="1">
        <v>6</v>
      </c>
      <c r="F65" s="1">
        <v>2622</v>
      </c>
      <c r="G65" s="1">
        <v>25</v>
      </c>
      <c r="H65" s="4">
        <v>15707</v>
      </c>
      <c r="I65" s="1" t="s">
        <v>19</v>
      </c>
      <c r="J65" s="1" t="s">
        <v>20</v>
      </c>
      <c r="K65" s="1" t="s">
        <v>30</v>
      </c>
      <c r="L65" s="1"/>
    </row>
    <row r="66" spans="1:12" x14ac:dyDescent="0.2">
      <c r="A66" s="3">
        <v>45827</v>
      </c>
      <c r="B66" s="1" t="s">
        <v>131</v>
      </c>
      <c r="C66" s="1" t="s">
        <v>40</v>
      </c>
      <c r="D66" s="1" t="s">
        <v>38</v>
      </c>
      <c r="E66" s="1">
        <v>8</v>
      </c>
      <c r="F66" s="1">
        <v>1673</v>
      </c>
      <c r="G66" s="1">
        <v>100</v>
      </c>
      <c r="H66" s="4">
        <v>13284</v>
      </c>
      <c r="I66" s="1" t="s">
        <v>19</v>
      </c>
      <c r="J66" s="1" t="s">
        <v>36</v>
      </c>
      <c r="K66" s="1" t="s">
        <v>21</v>
      </c>
      <c r="L66" s="1"/>
    </row>
    <row r="67" spans="1:12" x14ac:dyDescent="0.2">
      <c r="A67" s="3">
        <v>45828</v>
      </c>
      <c r="B67" s="1" t="s">
        <v>63</v>
      </c>
      <c r="C67" s="1" t="s">
        <v>40</v>
      </c>
      <c r="D67" s="1" t="s">
        <v>23</v>
      </c>
      <c r="E67" s="1">
        <v>6</v>
      </c>
      <c r="F67" s="1">
        <v>930</v>
      </c>
      <c r="G67" s="1">
        <v>25</v>
      </c>
      <c r="H67" s="4">
        <v>5555</v>
      </c>
      <c r="I67" s="1" t="s">
        <v>19</v>
      </c>
      <c r="J67" s="1" t="s">
        <v>36</v>
      </c>
      <c r="K67" s="1" t="s">
        <v>3</v>
      </c>
      <c r="L67" s="1"/>
    </row>
    <row r="68" spans="1:12" x14ac:dyDescent="0.2">
      <c r="A68" s="3">
        <v>45828</v>
      </c>
      <c r="B68" s="1" t="s">
        <v>72</v>
      </c>
      <c r="C68" s="1" t="s">
        <v>33</v>
      </c>
      <c r="D68" s="1" t="s">
        <v>44</v>
      </c>
      <c r="E68" s="1">
        <v>6</v>
      </c>
      <c r="F68" s="1">
        <v>4686</v>
      </c>
      <c r="G68" s="1">
        <v>200</v>
      </c>
      <c r="H68" s="4">
        <v>27916</v>
      </c>
      <c r="I68" s="1" t="s">
        <v>19</v>
      </c>
      <c r="J68" s="1" t="s">
        <v>20</v>
      </c>
      <c r="K68" s="1" t="s">
        <v>3</v>
      </c>
      <c r="L68" s="1" t="s">
        <v>31</v>
      </c>
    </row>
    <row r="69" spans="1:12" x14ac:dyDescent="0.2">
      <c r="A69" s="3">
        <v>45828</v>
      </c>
      <c r="B69" s="1" t="s">
        <v>92</v>
      </c>
      <c r="C69" s="1" t="s">
        <v>33</v>
      </c>
      <c r="D69" s="1" t="s">
        <v>29</v>
      </c>
      <c r="E69" s="1">
        <v>3</v>
      </c>
      <c r="F69" s="1">
        <v>2436</v>
      </c>
      <c r="G69" s="1">
        <v>25</v>
      </c>
      <c r="H69" s="4">
        <v>7283</v>
      </c>
      <c r="I69" s="1" t="s">
        <v>35</v>
      </c>
      <c r="J69" s="1" t="s">
        <v>20</v>
      </c>
      <c r="K69" s="1" t="s">
        <v>21</v>
      </c>
      <c r="L69" s="1"/>
    </row>
    <row r="70" spans="1:12" x14ac:dyDescent="0.2">
      <c r="A70" s="3">
        <v>45828</v>
      </c>
      <c r="B70" s="1" t="s">
        <v>93</v>
      </c>
      <c r="C70" s="1" t="s">
        <v>26</v>
      </c>
      <c r="D70" s="1" t="s">
        <v>50</v>
      </c>
      <c r="E70" s="1">
        <v>8</v>
      </c>
      <c r="F70" s="1">
        <v>4390</v>
      </c>
      <c r="G70" s="1">
        <v>25</v>
      </c>
      <c r="H70" s="4">
        <v>35095</v>
      </c>
      <c r="I70" s="1" t="s">
        <v>19</v>
      </c>
      <c r="J70" s="1" t="s">
        <v>27</v>
      </c>
      <c r="K70" s="1" t="s">
        <v>2</v>
      </c>
      <c r="L70" s="1"/>
    </row>
    <row r="71" spans="1:12" x14ac:dyDescent="0.2">
      <c r="A71" s="3">
        <v>45828</v>
      </c>
      <c r="B71" s="1" t="s">
        <v>136</v>
      </c>
      <c r="C71" s="1" t="s">
        <v>26</v>
      </c>
      <c r="D71" s="1" t="s">
        <v>42</v>
      </c>
      <c r="E71" s="1">
        <v>8</v>
      </c>
      <c r="F71" s="1">
        <v>3364</v>
      </c>
      <c r="G71" s="1">
        <v>50</v>
      </c>
      <c r="H71" s="4">
        <v>26862</v>
      </c>
      <c r="I71" s="1" t="s">
        <v>24</v>
      </c>
      <c r="J71" s="1" t="s">
        <v>36</v>
      </c>
      <c r="K71" s="1" t="s">
        <v>2</v>
      </c>
      <c r="L71" s="1"/>
    </row>
    <row r="72" spans="1:12" x14ac:dyDescent="0.2">
      <c r="A72" s="3">
        <v>45829</v>
      </c>
      <c r="B72" s="1" t="s">
        <v>66</v>
      </c>
      <c r="C72" s="1" t="s">
        <v>33</v>
      </c>
      <c r="D72" s="1" t="s">
        <v>38</v>
      </c>
      <c r="E72" s="1">
        <v>4</v>
      </c>
      <c r="F72" s="1">
        <v>4033</v>
      </c>
      <c r="G72" s="1">
        <v>0</v>
      </c>
      <c r="H72" s="4">
        <v>16132</v>
      </c>
      <c r="I72" s="1" t="s">
        <v>19</v>
      </c>
      <c r="J72" s="1" t="s">
        <v>36</v>
      </c>
      <c r="K72" s="1" t="s">
        <v>21</v>
      </c>
      <c r="L72" s="1"/>
    </row>
    <row r="73" spans="1:12" x14ac:dyDescent="0.2">
      <c r="A73" s="3">
        <v>45829</v>
      </c>
      <c r="B73" s="1" t="s">
        <v>74</v>
      </c>
      <c r="C73" s="1" t="s">
        <v>40</v>
      </c>
      <c r="D73" s="1" t="s">
        <v>44</v>
      </c>
      <c r="E73" s="1">
        <v>7</v>
      </c>
      <c r="F73" s="1">
        <v>4354</v>
      </c>
      <c r="G73" s="1">
        <v>200</v>
      </c>
      <c r="H73" s="4">
        <v>30278</v>
      </c>
      <c r="I73" s="1" t="s">
        <v>19</v>
      </c>
      <c r="J73" s="1" t="s">
        <v>20</v>
      </c>
      <c r="K73" s="1" t="s">
        <v>3</v>
      </c>
      <c r="L73" s="1" t="s">
        <v>31</v>
      </c>
    </row>
    <row r="74" spans="1:12" x14ac:dyDescent="0.2">
      <c r="A74" s="3">
        <v>45829</v>
      </c>
      <c r="B74" s="1" t="s">
        <v>104</v>
      </c>
      <c r="C74" s="1" t="s">
        <v>17</v>
      </c>
      <c r="D74" s="1" t="s">
        <v>18</v>
      </c>
      <c r="E74" s="1">
        <v>9</v>
      </c>
      <c r="F74" s="1">
        <v>3142</v>
      </c>
      <c r="G74" s="1">
        <v>0</v>
      </c>
      <c r="H74" s="4">
        <v>28278</v>
      </c>
      <c r="I74" s="1" t="s">
        <v>35</v>
      </c>
      <c r="J74" s="1" t="s">
        <v>27</v>
      </c>
      <c r="K74" s="1" t="s">
        <v>2</v>
      </c>
      <c r="L74" s="1"/>
    </row>
    <row r="75" spans="1:12" x14ac:dyDescent="0.2">
      <c r="A75" s="3">
        <v>45829</v>
      </c>
      <c r="B75" s="1" t="s">
        <v>110</v>
      </c>
      <c r="C75" s="1" t="s">
        <v>54</v>
      </c>
      <c r="D75" s="1" t="s">
        <v>44</v>
      </c>
      <c r="E75" s="1">
        <v>10</v>
      </c>
      <c r="F75" s="1">
        <v>3459</v>
      </c>
      <c r="G75" s="1">
        <v>100</v>
      </c>
      <c r="H75" s="4">
        <v>34490</v>
      </c>
      <c r="I75" s="1" t="s">
        <v>35</v>
      </c>
      <c r="J75" s="1" t="s">
        <v>36</v>
      </c>
      <c r="K75" s="1" t="s">
        <v>21</v>
      </c>
      <c r="L75" s="1"/>
    </row>
    <row r="76" spans="1:12" x14ac:dyDescent="0.2">
      <c r="A76" s="3">
        <v>45829</v>
      </c>
      <c r="B76" s="1" t="s">
        <v>111</v>
      </c>
      <c r="C76" s="1" t="s">
        <v>40</v>
      </c>
      <c r="D76" s="1" t="s">
        <v>47</v>
      </c>
      <c r="E76" s="1">
        <v>10</v>
      </c>
      <c r="F76" s="1">
        <v>322</v>
      </c>
      <c r="G76" s="1">
        <v>0</v>
      </c>
      <c r="H76" s="4">
        <v>3220</v>
      </c>
      <c r="I76" s="1" t="s">
        <v>35</v>
      </c>
      <c r="J76" s="1" t="s">
        <v>36</v>
      </c>
      <c r="K76" s="1" t="s">
        <v>2</v>
      </c>
      <c r="L76" s="1" t="s">
        <v>31</v>
      </c>
    </row>
    <row r="77" spans="1:12" x14ac:dyDescent="0.2">
      <c r="A77" s="3">
        <v>45830</v>
      </c>
      <c r="B77" s="1" t="s">
        <v>67</v>
      </c>
      <c r="C77" s="1" t="s">
        <v>17</v>
      </c>
      <c r="D77" s="1" t="s">
        <v>47</v>
      </c>
      <c r="E77" s="1">
        <v>10</v>
      </c>
      <c r="F77" s="1">
        <v>3863</v>
      </c>
      <c r="G77" s="1">
        <v>0</v>
      </c>
      <c r="H77" s="4">
        <v>38630</v>
      </c>
      <c r="I77" s="1" t="s">
        <v>35</v>
      </c>
      <c r="J77" s="1" t="s">
        <v>20</v>
      </c>
      <c r="K77" s="1" t="s">
        <v>21</v>
      </c>
      <c r="L77" s="1" t="s">
        <v>31</v>
      </c>
    </row>
    <row r="78" spans="1:12" x14ac:dyDescent="0.2">
      <c r="A78" s="3">
        <v>45830</v>
      </c>
      <c r="B78" s="1" t="s">
        <v>120</v>
      </c>
      <c r="C78" s="1" t="s">
        <v>54</v>
      </c>
      <c r="D78" s="1" t="s">
        <v>23</v>
      </c>
      <c r="E78" s="1">
        <v>9</v>
      </c>
      <c r="F78" s="1">
        <v>1383</v>
      </c>
      <c r="G78" s="1">
        <v>100</v>
      </c>
      <c r="H78" s="4">
        <v>12347</v>
      </c>
      <c r="I78" s="1" t="s">
        <v>35</v>
      </c>
      <c r="J78" s="1" t="s">
        <v>36</v>
      </c>
      <c r="K78" s="1" t="s">
        <v>30</v>
      </c>
      <c r="L78" s="1"/>
    </row>
    <row r="79" spans="1:12" x14ac:dyDescent="0.2">
      <c r="A79" s="3">
        <v>45831</v>
      </c>
      <c r="B79" s="1" t="s">
        <v>64</v>
      </c>
      <c r="C79" s="1" t="s">
        <v>54</v>
      </c>
      <c r="D79" s="1" t="s">
        <v>50</v>
      </c>
      <c r="E79" s="1">
        <v>10</v>
      </c>
      <c r="F79" s="1">
        <v>2972</v>
      </c>
      <c r="G79" s="1">
        <v>25</v>
      </c>
      <c r="H79" s="4">
        <v>29695</v>
      </c>
      <c r="I79" s="1" t="s">
        <v>35</v>
      </c>
      <c r="J79" s="1" t="s">
        <v>20</v>
      </c>
      <c r="K79" s="1" t="s">
        <v>21</v>
      </c>
      <c r="L79" s="1"/>
    </row>
    <row r="80" spans="1:12" x14ac:dyDescent="0.2">
      <c r="A80" s="3">
        <v>45831</v>
      </c>
      <c r="B80" s="1" t="s">
        <v>99</v>
      </c>
      <c r="C80" s="1" t="s">
        <v>40</v>
      </c>
      <c r="D80" s="1" t="s">
        <v>47</v>
      </c>
      <c r="E80" s="1">
        <v>1</v>
      </c>
      <c r="F80" s="1">
        <v>1346</v>
      </c>
      <c r="G80" s="1">
        <v>200</v>
      </c>
      <c r="H80" s="4">
        <v>1146</v>
      </c>
      <c r="I80" s="1" t="s">
        <v>24</v>
      </c>
      <c r="J80" s="1" t="s">
        <v>36</v>
      </c>
      <c r="K80" s="1" t="s">
        <v>2</v>
      </c>
      <c r="L80" s="1" t="s">
        <v>31</v>
      </c>
    </row>
    <row r="81" spans="1:12" x14ac:dyDescent="0.2">
      <c r="A81" s="3">
        <v>45831</v>
      </c>
      <c r="B81" s="1" t="s">
        <v>118</v>
      </c>
      <c r="C81" s="1" t="s">
        <v>54</v>
      </c>
      <c r="D81" s="1" t="s">
        <v>18</v>
      </c>
      <c r="E81" s="1">
        <v>7</v>
      </c>
      <c r="F81" s="1">
        <v>3719</v>
      </c>
      <c r="G81" s="1">
        <v>100</v>
      </c>
      <c r="H81" s="4">
        <v>25933</v>
      </c>
      <c r="I81" s="1" t="s">
        <v>24</v>
      </c>
      <c r="J81" s="1" t="s">
        <v>27</v>
      </c>
      <c r="K81" s="1" t="s">
        <v>2</v>
      </c>
      <c r="L81" s="1" t="s">
        <v>31</v>
      </c>
    </row>
    <row r="82" spans="1:12" x14ac:dyDescent="0.2">
      <c r="A82" s="3">
        <v>45832</v>
      </c>
      <c r="B82" s="1" t="s">
        <v>61</v>
      </c>
      <c r="C82" s="1" t="s">
        <v>17</v>
      </c>
      <c r="D82" s="1" t="s">
        <v>38</v>
      </c>
      <c r="E82" s="1">
        <v>7</v>
      </c>
      <c r="F82" s="1">
        <v>937</v>
      </c>
      <c r="G82" s="1">
        <v>25</v>
      </c>
      <c r="H82" s="4">
        <v>6534</v>
      </c>
      <c r="I82" s="1" t="s">
        <v>35</v>
      </c>
      <c r="J82" s="1" t="s">
        <v>36</v>
      </c>
      <c r="K82" s="1" t="s">
        <v>3</v>
      </c>
      <c r="L82" s="1"/>
    </row>
    <row r="83" spans="1:12" x14ac:dyDescent="0.2">
      <c r="A83" s="3">
        <v>45832</v>
      </c>
      <c r="B83" s="1" t="s">
        <v>75</v>
      </c>
      <c r="C83" s="1" t="s">
        <v>40</v>
      </c>
      <c r="D83" s="1" t="s">
        <v>50</v>
      </c>
      <c r="E83" s="1">
        <v>8</v>
      </c>
      <c r="F83" s="1">
        <v>2720</v>
      </c>
      <c r="G83" s="1">
        <v>100</v>
      </c>
      <c r="H83" s="4">
        <v>21660</v>
      </c>
      <c r="I83" s="1" t="s">
        <v>19</v>
      </c>
      <c r="J83" s="1" t="s">
        <v>36</v>
      </c>
      <c r="K83" s="1" t="s">
        <v>30</v>
      </c>
      <c r="L83" s="1"/>
    </row>
    <row r="84" spans="1:12" x14ac:dyDescent="0.2">
      <c r="A84" s="3">
        <v>45832</v>
      </c>
      <c r="B84" s="1" t="s">
        <v>88</v>
      </c>
      <c r="C84" s="1" t="s">
        <v>54</v>
      </c>
      <c r="D84" s="1" t="s">
        <v>38</v>
      </c>
      <c r="E84" s="1">
        <v>4</v>
      </c>
      <c r="F84" s="1">
        <v>1907</v>
      </c>
      <c r="G84" s="1">
        <v>25</v>
      </c>
      <c r="H84" s="4">
        <v>7603</v>
      </c>
      <c r="I84" s="1" t="s">
        <v>24</v>
      </c>
      <c r="J84" s="1" t="s">
        <v>27</v>
      </c>
      <c r="K84" s="1" t="s">
        <v>30</v>
      </c>
      <c r="L84" s="1"/>
    </row>
    <row r="85" spans="1:12" x14ac:dyDescent="0.2">
      <c r="A85" s="3">
        <v>45832</v>
      </c>
      <c r="B85" s="1" t="s">
        <v>91</v>
      </c>
      <c r="C85" s="1" t="s">
        <v>33</v>
      </c>
      <c r="D85" s="1" t="s">
        <v>50</v>
      </c>
      <c r="E85" s="1">
        <v>2</v>
      </c>
      <c r="F85" s="1">
        <v>3541</v>
      </c>
      <c r="G85" s="1">
        <v>200</v>
      </c>
      <c r="H85" s="4">
        <v>6882</v>
      </c>
      <c r="I85" s="1" t="s">
        <v>24</v>
      </c>
      <c r="J85" s="1" t="s">
        <v>36</v>
      </c>
      <c r="K85" s="1" t="s">
        <v>21</v>
      </c>
      <c r="L85" s="1"/>
    </row>
    <row r="86" spans="1:12" x14ac:dyDescent="0.2">
      <c r="A86" s="3">
        <v>45832</v>
      </c>
      <c r="B86" s="1" t="s">
        <v>94</v>
      </c>
      <c r="C86" s="1" t="s">
        <v>17</v>
      </c>
      <c r="D86" s="1" t="s">
        <v>50</v>
      </c>
      <c r="E86" s="1">
        <v>9</v>
      </c>
      <c r="F86" s="1">
        <v>3774</v>
      </c>
      <c r="G86" s="1">
        <v>200</v>
      </c>
      <c r="H86" s="4">
        <v>33766</v>
      </c>
      <c r="I86" s="1" t="s">
        <v>19</v>
      </c>
      <c r="J86" s="1" t="s">
        <v>20</v>
      </c>
      <c r="K86" s="1" t="s">
        <v>21</v>
      </c>
      <c r="L86" s="1" t="s">
        <v>31</v>
      </c>
    </row>
    <row r="87" spans="1:12" x14ac:dyDescent="0.2">
      <c r="A87" s="3">
        <v>45833</v>
      </c>
      <c r="B87" s="1" t="s">
        <v>100</v>
      </c>
      <c r="C87" s="1" t="s">
        <v>40</v>
      </c>
      <c r="D87" s="1" t="s">
        <v>29</v>
      </c>
      <c r="E87" s="1">
        <v>10</v>
      </c>
      <c r="F87" s="1">
        <v>4265</v>
      </c>
      <c r="G87" s="1">
        <v>100</v>
      </c>
      <c r="H87" s="4">
        <v>42550</v>
      </c>
      <c r="I87" s="1" t="s">
        <v>35</v>
      </c>
      <c r="J87" s="1" t="s">
        <v>20</v>
      </c>
      <c r="K87" s="1" t="s">
        <v>21</v>
      </c>
      <c r="L87" s="1"/>
    </row>
    <row r="88" spans="1:12" x14ac:dyDescent="0.2">
      <c r="A88" s="3">
        <v>45833</v>
      </c>
      <c r="B88" s="1" t="s">
        <v>132</v>
      </c>
      <c r="C88" s="1" t="s">
        <v>40</v>
      </c>
      <c r="D88" s="1" t="s">
        <v>18</v>
      </c>
      <c r="E88" s="1">
        <v>5</v>
      </c>
      <c r="F88" s="1">
        <v>1276</v>
      </c>
      <c r="G88" s="1">
        <v>50</v>
      </c>
      <c r="H88" s="4">
        <v>6330</v>
      </c>
      <c r="I88" s="1" t="s">
        <v>24</v>
      </c>
      <c r="J88" s="1" t="s">
        <v>20</v>
      </c>
      <c r="K88" s="1" t="s">
        <v>2</v>
      </c>
      <c r="L88" s="1"/>
    </row>
    <row r="89" spans="1:12" x14ac:dyDescent="0.2">
      <c r="A89" s="3">
        <v>45833</v>
      </c>
      <c r="B89" s="1" t="s">
        <v>134</v>
      </c>
      <c r="C89" s="1" t="s">
        <v>54</v>
      </c>
      <c r="D89" s="1" t="s">
        <v>42</v>
      </c>
      <c r="E89" s="1">
        <v>10</v>
      </c>
      <c r="F89" s="1">
        <v>4183</v>
      </c>
      <c r="G89" s="1">
        <v>50</v>
      </c>
      <c r="H89" s="4">
        <v>41780</v>
      </c>
      <c r="I89" s="1" t="s">
        <v>24</v>
      </c>
      <c r="J89" s="1" t="s">
        <v>20</v>
      </c>
      <c r="K89" s="1" t="s">
        <v>21</v>
      </c>
      <c r="L89" s="1"/>
    </row>
    <row r="90" spans="1:12" x14ac:dyDescent="0.2">
      <c r="A90" s="3">
        <v>45834</v>
      </c>
      <c r="B90" s="1" t="s">
        <v>71</v>
      </c>
      <c r="C90" s="1" t="s">
        <v>26</v>
      </c>
      <c r="D90" s="1" t="s">
        <v>50</v>
      </c>
      <c r="E90" s="1">
        <v>10</v>
      </c>
      <c r="F90" s="1">
        <v>2887</v>
      </c>
      <c r="G90" s="1">
        <v>50</v>
      </c>
      <c r="H90" s="4">
        <v>28820</v>
      </c>
      <c r="I90" s="1" t="s">
        <v>35</v>
      </c>
      <c r="J90" s="1" t="s">
        <v>36</v>
      </c>
      <c r="K90" s="1" t="s">
        <v>30</v>
      </c>
      <c r="L90" s="1"/>
    </row>
    <row r="91" spans="1:12" x14ac:dyDescent="0.2">
      <c r="A91" s="3">
        <v>45834</v>
      </c>
      <c r="B91" s="1" t="s">
        <v>89</v>
      </c>
      <c r="C91" s="1" t="s">
        <v>17</v>
      </c>
      <c r="D91" s="1" t="s">
        <v>44</v>
      </c>
      <c r="E91" s="1">
        <v>6</v>
      </c>
      <c r="F91" s="1">
        <v>2327</v>
      </c>
      <c r="G91" s="1">
        <v>100</v>
      </c>
      <c r="H91" s="4">
        <v>13862</v>
      </c>
      <c r="I91" s="1" t="s">
        <v>24</v>
      </c>
      <c r="J91" s="1" t="s">
        <v>36</v>
      </c>
      <c r="K91" s="1" t="s">
        <v>3</v>
      </c>
      <c r="L91" s="1" t="s">
        <v>31</v>
      </c>
    </row>
    <row r="92" spans="1:12" x14ac:dyDescent="0.2">
      <c r="A92" s="3">
        <v>45834</v>
      </c>
      <c r="B92" s="1" t="s">
        <v>103</v>
      </c>
      <c r="C92" s="1" t="s">
        <v>40</v>
      </c>
      <c r="D92" s="1" t="s">
        <v>44</v>
      </c>
      <c r="E92" s="1">
        <v>8</v>
      </c>
      <c r="F92" s="1">
        <v>1182</v>
      </c>
      <c r="G92" s="1">
        <v>0</v>
      </c>
      <c r="H92" s="4">
        <v>9456</v>
      </c>
      <c r="I92" s="1" t="s">
        <v>35</v>
      </c>
      <c r="J92" s="1" t="s">
        <v>27</v>
      </c>
      <c r="K92" s="1" t="s">
        <v>21</v>
      </c>
      <c r="L92" s="1" t="s">
        <v>31</v>
      </c>
    </row>
    <row r="93" spans="1:12" x14ac:dyDescent="0.2">
      <c r="A93" s="3">
        <v>45835</v>
      </c>
      <c r="B93" s="1" t="s">
        <v>53</v>
      </c>
      <c r="C93" s="1" t="s">
        <v>54</v>
      </c>
      <c r="D93" s="1" t="s">
        <v>29</v>
      </c>
      <c r="E93" s="1">
        <v>3</v>
      </c>
      <c r="F93" s="1">
        <v>879</v>
      </c>
      <c r="G93" s="1">
        <v>50</v>
      </c>
      <c r="H93" s="4">
        <v>2587</v>
      </c>
      <c r="I93" s="1" t="s">
        <v>19</v>
      </c>
      <c r="J93" s="1" t="s">
        <v>20</v>
      </c>
      <c r="K93" s="1" t="s">
        <v>21</v>
      </c>
      <c r="L93" s="1"/>
    </row>
    <row r="94" spans="1:12" x14ac:dyDescent="0.2">
      <c r="A94" s="3">
        <v>45835</v>
      </c>
      <c r="B94" s="1" t="s">
        <v>65</v>
      </c>
      <c r="C94" s="1" t="s">
        <v>26</v>
      </c>
      <c r="D94" s="1" t="s">
        <v>44</v>
      </c>
      <c r="E94" s="1">
        <v>8</v>
      </c>
      <c r="F94" s="1">
        <v>4057</v>
      </c>
      <c r="G94" s="1">
        <v>50</v>
      </c>
      <c r="H94" s="4">
        <v>32406</v>
      </c>
      <c r="I94" s="1" t="s">
        <v>19</v>
      </c>
      <c r="J94" s="1" t="s">
        <v>27</v>
      </c>
      <c r="K94" s="1" t="s">
        <v>21</v>
      </c>
      <c r="L94" s="1"/>
    </row>
    <row r="95" spans="1:12" x14ac:dyDescent="0.2">
      <c r="A95" s="3">
        <v>45835</v>
      </c>
      <c r="B95" s="1" t="s">
        <v>121</v>
      </c>
      <c r="C95" s="1" t="s">
        <v>40</v>
      </c>
      <c r="D95" s="1" t="s">
        <v>79</v>
      </c>
      <c r="E95" s="1">
        <v>2</v>
      </c>
      <c r="F95" s="1">
        <v>1274</v>
      </c>
      <c r="G95" s="1">
        <v>25</v>
      </c>
      <c r="H95" s="4">
        <v>2523</v>
      </c>
      <c r="I95" s="1" t="s">
        <v>19</v>
      </c>
      <c r="J95" s="1" t="s">
        <v>36</v>
      </c>
      <c r="K95" s="1" t="s">
        <v>21</v>
      </c>
      <c r="L95" s="1"/>
    </row>
    <row r="96" spans="1:12" x14ac:dyDescent="0.2">
      <c r="A96" s="3">
        <v>45837</v>
      </c>
      <c r="B96" s="1" t="s">
        <v>78</v>
      </c>
      <c r="C96" s="1" t="s">
        <v>54</v>
      </c>
      <c r="D96" s="1" t="s">
        <v>79</v>
      </c>
      <c r="E96" s="1">
        <v>2</v>
      </c>
      <c r="F96" s="1">
        <v>2639</v>
      </c>
      <c r="G96" s="1">
        <v>25</v>
      </c>
      <c r="H96" s="4">
        <v>5253</v>
      </c>
      <c r="I96" s="1" t="s">
        <v>19</v>
      </c>
      <c r="J96" s="1" t="s">
        <v>36</v>
      </c>
      <c r="K96" s="1" t="s">
        <v>2</v>
      </c>
      <c r="L96" s="1"/>
    </row>
    <row r="97" spans="1:12" x14ac:dyDescent="0.2">
      <c r="A97" s="3">
        <v>45838</v>
      </c>
      <c r="B97" s="1" t="s">
        <v>43</v>
      </c>
      <c r="C97" s="1" t="s">
        <v>40</v>
      </c>
      <c r="D97" s="1" t="s">
        <v>44</v>
      </c>
      <c r="E97" s="1">
        <v>10</v>
      </c>
      <c r="F97" s="1">
        <v>2758</v>
      </c>
      <c r="G97" s="1">
        <v>200</v>
      </c>
      <c r="H97" s="4">
        <v>27380</v>
      </c>
      <c r="I97" s="1" t="s">
        <v>35</v>
      </c>
      <c r="J97" s="1" t="s">
        <v>27</v>
      </c>
      <c r="K97" s="1" t="s">
        <v>2</v>
      </c>
      <c r="L97" s="1"/>
    </row>
    <row r="98" spans="1:12" x14ac:dyDescent="0.2">
      <c r="A98" s="3">
        <v>45838</v>
      </c>
      <c r="B98" s="1" t="s">
        <v>76</v>
      </c>
      <c r="C98" s="1" t="s">
        <v>17</v>
      </c>
      <c r="D98" s="1" t="s">
        <v>50</v>
      </c>
      <c r="E98" s="1">
        <v>7</v>
      </c>
      <c r="F98" s="1">
        <v>2439</v>
      </c>
      <c r="G98" s="1">
        <v>0</v>
      </c>
      <c r="H98" s="4">
        <v>17073</v>
      </c>
      <c r="I98" s="1" t="s">
        <v>35</v>
      </c>
      <c r="J98" s="1" t="s">
        <v>27</v>
      </c>
      <c r="K98" s="1" t="s">
        <v>3</v>
      </c>
      <c r="L98" s="1" t="s">
        <v>31</v>
      </c>
    </row>
    <row r="99" spans="1:12" x14ac:dyDescent="0.2">
      <c r="A99" s="3">
        <v>45838</v>
      </c>
      <c r="B99" s="1" t="s">
        <v>90</v>
      </c>
      <c r="C99" s="1" t="s">
        <v>40</v>
      </c>
      <c r="D99" s="1" t="s">
        <v>44</v>
      </c>
      <c r="E99" s="1">
        <v>3</v>
      </c>
      <c r="F99" s="1">
        <v>1536</v>
      </c>
      <c r="G99" s="1">
        <v>50</v>
      </c>
      <c r="H99" s="4">
        <v>4558</v>
      </c>
      <c r="I99" s="1" t="s">
        <v>19</v>
      </c>
      <c r="J99" s="1" t="s">
        <v>27</v>
      </c>
      <c r="K99" s="1" t="s">
        <v>2</v>
      </c>
      <c r="L99" s="1" t="s">
        <v>31</v>
      </c>
    </row>
    <row r="100" spans="1:12" x14ac:dyDescent="0.2">
      <c r="A100" s="3">
        <v>45838</v>
      </c>
      <c r="B100" s="1" t="s">
        <v>113</v>
      </c>
      <c r="C100" s="1" t="s">
        <v>40</v>
      </c>
      <c r="D100" s="1" t="s">
        <v>38</v>
      </c>
      <c r="E100" s="1">
        <v>7</v>
      </c>
      <c r="F100" s="1">
        <v>2992</v>
      </c>
      <c r="G100" s="1">
        <v>25</v>
      </c>
      <c r="H100" s="4">
        <v>20919</v>
      </c>
      <c r="I100" s="1" t="s">
        <v>24</v>
      </c>
      <c r="J100" s="1" t="s">
        <v>36</v>
      </c>
      <c r="K100" s="1" t="s">
        <v>2</v>
      </c>
      <c r="L100" s="1"/>
    </row>
    <row r="101" spans="1:12" x14ac:dyDescent="0.2">
      <c r="A101" s="3">
        <v>45838</v>
      </c>
      <c r="B101" s="1" t="s">
        <v>126</v>
      </c>
      <c r="C101" s="1" t="s">
        <v>17</v>
      </c>
      <c r="D101" s="1" t="s">
        <v>38</v>
      </c>
      <c r="E101" s="1">
        <v>5</v>
      </c>
      <c r="F101" s="1">
        <v>3031</v>
      </c>
      <c r="G101" s="1">
        <v>200</v>
      </c>
      <c r="H101" s="4">
        <v>14955</v>
      </c>
      <c r="I101" s="1" t="s">
        <v>35</v>
      </c>
      <c r="J101" s="1" t="s">
        <v>36</v>
      </c>
      <c r="K101" s="1" t="s">
        <v>2</v>
      </c>
      <c r="L101" s="1"/>
    </row>
    <row r="102" spans="1:12" x14ac:dyDescent="0.2">
      <c r="A102" s="3">
        <v>45838</v>
      </c>
      <c r="B102" s="1" t="s">
        <v>133</v>
      </c>
      <c r="C102" s="1" t="s">
        <v>26</v>
      </c>
      <c r="D102" s="1" t="s">
        <v>29</v>
      </c>
      <c r="E102" s="1">
        <v>9</v>
      </c>
      <c r="F102" s="1">
        <v>702</v>
      </c>
      <c r="G102" s="1">
        <v>100</v>
      </c>
      <c r="H102" s="4">
        <v>6218</v>
      </c>
      <c r="I102" s="1" t="s">
        <v>35</v>
      </c>
      <c r="J102" s="1" t="s">
        <v>27</v>
      </c>
      <c r="K102" s="1" t="s">
        <v>30</v>
      </c>
      <c r="L102" s="1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7F6A1-E7B9-444A-BDEA-0838CAA26A45}">
  <sheetPr codeName="Sheet1"/>
  <dimension ref="A1:B4"/>
  <sheetViews>
    <sheetView rightToLeft="1" workbookViewId="0"/>
  </sheetViews>
  <sheetFormatPr defaultRowHeight="14.25" x14ac:dyDescent="0.2"/>
  <cols>
    <col min="1" max="1" width="13.875" bestFit="1" customWidth="1"/>
    <col min="2" max="2" width="43.875" bestFit="1" customWidth="1"/>
  </cols>
  <sheetData>
    <row r="1" spans="1:2" ht="15" x14ac:dyDescent="0.2">
      <c r="A1" s="7" t="s">
        <v>0</v>
      </c>
      <c r="B1" s="1" t="str">
        <f>GetWorkbookPath()</f>
        <v>D:\Assets\Excel\Templates\Import Data.xlsb</v>
      </c>
    </row>
    <row r="2" spans="1:2" ht="15" x14ac:dyDescent="0.2">
      <c r="A2" s="7" t="s">
        <v>1</v>
      </c>
      <c r="B2" s="1" t="str">
        <f>GetSheetName()</f>
        <v>2025</v>
      </c>
    </row>
    <row r="3" spans="1:2" ht="15" x14ac:dyDescent="0.2">
      <c r="A3" s="7" t="s">
        <v>139</v>
      </c>
      <c r="B3" s="1" t="str">
        <f>ADDRESS(2,1,4)</f>
        <v>A2</v>
      </c>
    </row>
    <row r="4" spans="1:2" x14ac:dyDescent="0.2">
      <c r="A4" s="1"/>
      <c r="B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104"/>
  <sheetViews>
    <sheetView rightToLeft="1" tabSelected="1" zoomScaleNormal="100" workbookViewId="0"/>
  </sheetViews>
  <sheetFormatPr defaultRowHeight="14.25" x14ac:dyDescent="0.2"/>
  <cols>
    <col min="1" max="2" width="18.875" bestFit="1" customWidth="1"/>
    <col min="3" max="3" width="13.875" bestFit="1" customWidth="1"/>
    <col min="4" max="4" width="12.75" bestFit="1" customWidth="1"/>
    <col min="5" max="5" width="9.375" bestFit="1" customWidth="1"/>
    <col min="6" max="6" width="13.75" bestFit="1" customWidth="1"/>
    <col min="7" max="7" width="8.125" bestFit="1" customWidth="1"/>
    <col min="8" max="8" width="10.625" bestFit="1" customWidth="1"/>
    <col min="9" max="9" width="15" bestFit="1" customWidth="1"/>
    <col min="10" max="10" width="9.375" bestFit="1" customWidth="1"/>
    <col min="11" max="11" width="18.875" bestFit="1" customWidth="1"/>
    <col min="12" max="12" width="9.375" bestFit="1" customWidth="1"/>
  </cols>
  <sheetData>
    <row r="1" spans="1:12" ht="15" x14ac:dyDescent="0.2">
      <c r="A1" s="2" t="s">
        <v>4</v>
      </c>
      <c r="B1" s="2" t="s">
        <v>4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</row>
    <row r="2" spans="1:12" x14ac:dyDescent="0.2">
      <c r="A2" s="1" t="str">
        <f>"&gt;="&amp;DATE(2025,6,10)</f>
        <v>&gt;=45818</v>
      </c>
      <c r="B2" s="1" t="str">
        <f>"&lt;="&amp;DATE(2025,6,20)</f>
        <v>&lt;=45828</v>
      </c>
      <c r="C2" s="1" t="str">
        <f>"يوسف*"</f>
        <v>يوسف*</v>
      </c>
      <c r="D2" s="1"/>
    </row>
    <row r="3" spans="1:12" ht="17.100000000000001" customHeight="1" x14ac:dyDescent="0.2"/>
    <row r="4" spans="1:12" ht="15" x14ac:dyDescent="0.2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  <c r="F4" s="2" t="s">
        <v>9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</row>
    <row r="5" spans="1:12" x14ac:dyDescent="0.2">
      <c r="A5" s="3">
        <v>45821</v>
      </c>
      <c r="B5" s="1" t="s">
        <v>55</v>
      </c>
      <c r="C5" s="1" t="s">
        <v>26</v>
      </c>
      <c r="D5" s="1" t="s">
        <v>29</v>
      </c>
      <c r="E5" s="1">
        <v>5</v>
      </c>
      <c r="F5" s="1">
        <v>2657</v>
      </c>
      <c r="G5" s="1">
        <v>0</v>
      </c>
      <c r="H5" s="4">
        <v>13285</v>
      </c>
      <c r="I5" s="1" t="s">
        <v>19</v>
      </c>
      <c r="J5" s="1" t="s">
        <v>27</v>
      </c>
      <c r="K5" s="1" t="s">
        <v>21</v>
      </c>
      <c r="L5" s="1" t="s">
        <v>31</v>
      </c>
    </row>
    <row r="6" spans="1:12" x14ac:dyDescent="0.2">
      <c r="A6" s="3">
        <v>45821</v>
      </c>
      <c r="B6" s="1" t="s">
        <v>119</v>
      </c>
      <c r="C6" s="1" t="s">
        <v>26</v>
      </c>
      <c r="D6" s="1" t="s">
        <v>38</v>
      </c>
      <c r="E6" s="1">
        <v>9</v>
      </c>
      <c r="F6" s="1">
        <v>1661</v>
      </c>
      <c r="G6" s="1">
        <v>25</v>
      </c>
      <c r="H6" s="4">
        <v>14924</v>
      </c>
      <c r="I6" s="1" t="s">
        <v>24</v>
      </c>
      <c r="J6" s="1" t="s">
        <v>36</v>
      </c>
      <c r="K6" s="1" t="s">
        <v>2</v>
      </c>
      <c r="L6" s="1"/>
    </row>
    <row r="7" spans="1:12" x14ac:dyDescent="0.2">
      <c r="A7" s="3">
        <v>45822</v>
      </c>
      <c r="B7" s="1" t="s">
        <v>25</v>
      </c>
      <c r="C7" s="1" t="s">
        <v>26</v>
      </c>
      <c r="D7" s="1" t="s">
        <v>18</v>
      </c>
      <c r="E7" s="1">
        <v>6</v>
      </c>
      <c r="F7" s="1">
        <v>1677</v>
      </c>
      <c r="G7" s="1">
        <v>200</v>
      </c>
      <c r="H7" s="4">
        <v>9862</v>
      </c>
      <c r="I7" s="1" t="s">
        <v>24</v>
      </c>
      <c r="J7" s="1" t="s">
        <v>27</v>
      </c>
      <c r="K7" s="1" t="s">
        <v>2</v>
      </c>
      <c r="L7" s="1"/>
    </row>
    <row r="8" spans="1:12" x14ac:dyDescent="0.2">
      <c r="A8" s="3">
        <v>45822</v>
      </c>
      <c r="B8" s="1" t="s">
        <v>102</v>
      </c>
      <c r="C8" s="1" t="s">
        <v>26</v>
      </c>
      <c r="D8" s="1" t="s">
        <v>18</v>
      </c>
      <c r="E8" s="1">
        <v>9</v>
      </c>
      <c r="F8" s="1">
        <v>4641</v>
      </c>
      <c r="G8" s="1">
        <v>25</v>
      </c>
      <c r="H8" s="4">
        <v>41744</v>
      </c>
      <c r="I8" s="1" t="s">
        <v>19</v>
      </c>
      <c r="J8" s="1" t="s">
        <v>36</v>
      </c>
      <c r="K8" s="1" t="s">
        <v>21</v>
      </c>
      <c r="L8" s="1"/>
    </row>
    <row r="9" spans="1:12" x14ac:dyDescent="0.2">
      <c r="A9" s="3">
        <v>45823</v>
      </c>
      <c r="B9" s="1" t="s">
        <v>87</v>
      </c>
      <c r="C9" s="1" t="s">
        <v>26</v>
      </c>
      <c r="D9" s="1" t="s">
        <v>42</v>
      </c>
      <c r="E9" s="1">
        <v>8</v>
      </c>
      <c r="F9" s="1">
        <v>1494</v>
      </c>
      <c r="G9" s="1">
        <v>0</v>
      </c>
      <c r="H9" s="4">
        <v>11952</v>
      </c>
      <c r="I9" s="1" t="s">
        <v>19</v>
      </c>
      <c r="J9" s="1" t="s">
        <v>36</v>
      </c>
      <c r="K9" s="1" t="s">
        <v>2</v>
      </c>
      <c r="L9" s="1"/>
    </row>
    <row r="10" spans="1:12" x14ac:dyDescent="0.2">
      <c r="A10" s="3">
        <v>45827</v>
      </c>
      <c r="B10" s="1" t="s">
        <v>130</v>
      </c>
      <c r="C10" s="1" t="s">
        <v>26</v>
      </c>
      <c r="D10" s="1" t="s">
        <v>23</v>
      </c>
      <c r="E10" s="1">
        <v>6</v>
      </c>
      <c r="F10" s="1">
        <v>2622</v>
      </c>
      <c r="G10" s="1">
        <v>25</v>
      </c>
      <c r="H10" s="4">
        <v>15707</v>
      </c>
      <c r="I10" s="1" t="s">
        <v>19</v>
      </c>
      <c r="J10" s="1" t="s">
        <v>20</v>
      </c>
      <c r="K10" s="1" t="s">
        <v>30</v>
      </c>
      <c r="L10" s="1"/>
    </row>
    <row r="11" spans="1:12" x14ac:dyDescent="0.2">
      <c r="A11" s="3">
        <v>45828</v>
      </c>
      <c r="B11" s="1" t="s">
        <v>93</v>
      </c>
      <c r="C11" s="1" t="s">
        <v>26</v>
      </c>
      <c r="D11" s="1" t="s">
        <v>50</v>
      </c>
      <c r="E11" s="1">
        <v>8</v>
      </c>
      <c r="F11" s="1">
        <v>4390</v>
      </c>
      <c r="G11" s="1">
        <v>25</v>
      </c>
      <c r="H11" s="4">
        <v>35095</v>
      </c>
      <c r="I11" s="1" t="s">
        <v>19</v>
      </c>
      <c r="J11" s="1" t="s">
        <v>27</v>
      </c>
      <c r="K11" s="1" t="s">
        <v>2</v>
      </c>
      <c r="L11" s="1"/>
    </row>
    <row r="12" spans="1:12" x14ac:dyDescent="0.2">
      <c r="A12" s="3">
        <v>45828</v>
      </c>
      <c r="B12" s="1" t="s">
        <v>136</v>
      </c>
      <c r="C12" s="1" t="s">
        <v>26</v>
      </c>
      <c r="D12" s="1" t="s">
        <v>42</v>
      </c>
      <c r="E12" s="1">
        <v>8</v>
      </c>
      <c r="F12" s="1">
        <v>3364</v>
      </c>
      <c r="G12" s="1">
        <v>50</v>
      </c>
      <c r="H12" s="4">
        <v>26862</v>
      </c>
      <c r="I12" s="1" t="s">
        <v>24</v>
      </c>
      <c r="J12" s="1" t="s">
        <v>36</v>
      </c>
      <c r="K12" s="1" t="s">
        <v>2</v>
      </c>
      <c r="L12" s="1"/>
    </row>
    <row r="13" spans="1:12" x14ac:dyDescent="0.2">
      <c r="A13" s="3"/>
      <c r="B13" s="1"/>
      <c r="C13" s="1"/>
      <c r="D13" s="1"/>
      <c r="E13" s="1"/>
      <c r="F13" s="1"/>
      <c r="G13" s="1"/>
      <c r="H13" s="4"/>
      <c r="I13" s="1"/>
      <c r="J13" s="1"/>
      <c r="K13" s="1"/>
      <c r="L13" s="1"/>
    </row>
    <row r="14" spans="1:12" x14ac:dyDescent="0.2">
      <c r="A14" s="3"/>
      <c r="B14" s="1"/>
      <c r="C14" s="1"/>
      <c r="D14" s="1"/>
      <c r="E14" s="1"/>
      <c r="F14" s="1"/>
      <c r="G14" s="1"/>
      <c r="H14" s="4"/>
      <c r="I14" s="1"/>
      <c r="J14" s="1"/>
      <c r="K14" s="1"/>
      <c r="L14" s="1"/>
    </row>
    <row r="15" spans="1:12" x14ac:dyDescent="0.2">
      <c r="A15" s="3"/>
      <c r="B15" s="1"/>
      <c r="C15" s="1"/>
      <c r="D15" s="1"/>
      <c r="E15" s="1"/>
      <c r="F15" s="1"/>
      <c r="G15" s="1"/>
      <c r="H15" s="4"/>
      <c r="I15" s="1"/>
      <c r="J15" s="1"/>
      <c r="K15" s="1"/>
      <c r="L15" s="1"/>
    </row>
    <row r="16" spans="1:12" x14ac:dyDescent="0.2">
      <c r="A16" s="3"/>
      <c r="B16" s="1"/>
      <c r="C16" s="1"/>
      <c r="D16" s="1"/>
      <c r="E16" s="1"/>
      <c r="F16" s="1"/>
      <c r="G16" s="1"/>
      <c r="H16" s="4"/>
      <c r="I16" s="1"/>
      <c r="J16" s="1"/>
      <c r="K16" s="1"/>
      <c r="L16" s="1"/>
    </row>
    <row r="17" spans="1:12" x14ac:dyDescent="0.2">
      <c r="A17" s="3"/>
      <c r="B17" s="1"/>
      <c r="C17" s="1"/>
      <c r="D17" s="1"/>
      <c r="E17" s="1"/>
      <c r="F17" s="1"/>
      <c r="G17" s="1"/>
      <c r="H17" s="4"/>
      <c r="I17" s="1"/>
      <c r="J17" s="1"/>
      <c r="K17" s="1"/>
      <c r="L17" s="1"/>
    </row>
    <row r="18" spans="1:12" x14ac:dyDescent="0.2">
      <c r="A18" s="3"/>
      <c r="B18" s="1"/>
      <c r="C18" s="1"/>
      <c r="D18" s="1"/>
      <c r="E18" s="1"/>
      <c r="F18" s="1"/>
      <c r="G18" s="1"/>
      <c r="H18" s="4"/>
      <c r="I18" s="1"/>
      <c r="J18" s="1"/>
      <c r="K18" s="1"/>
      <c r="L18" s="1"/>
    </row>
    <row r="19" spans="1:12" x14ac:dyDescent="0.2">
      <c r="A19" s="3"/>
      <c r="B19" s="1"/>
      <c r="C19" s="1"/>
      <c r="D19" s="1"/>
      <c r="E19" s="1"/>
      <c r="F19" s="1"/>
      <c r="G19" s="1"/>
      <c r="H19" s="4"/>
      <c r="I19" s="1"/>
      <c r="J19" s="1"/>
      <c r="K19" s="1"/>
      <c r="L19" s="1"/>
    </row>
    <row r="20" spans="1:12" x14ac:dyDescent="0.2">
      <c r="A20" s="3"/>
      <c r="B20" s="1"/>
      <c r="C20" s="1"/>
      <c r="D20" s="1"/>
      <c r="E20" s="1"/>
      <c r="F20" s="1"/>
      <c r="G20" s="1"/>
      <c r="H20" s="4"/>
      <c r="I20" s="1"/>
      <c r="J20" s="1"/>
      <c r="K20" s="1"/>
      <c r="L20" s="1"/>
    </row>
    <row r="21" spans="1:12" x14ac:dyDescent="0.2">
      <c r="A21" s="3"/>
      <c r="B21" s="1"/>
      <c r="C21" s="1"/>
      <c r="D21" s="1"/>
      <c r="E21" s="1"/>
      <c r="F21" s="1"/>
      <c r="G21" s="1"/>
      <c r="H21" s="4"/>
      <c r="I21" s="1"/>
      <c r="J21" s="1"/>
      <c r="K21" s="1"/>
      <c r="L21" s="1"/>
    </row>
    <row r="22" spans="1:12" x14ac:dyDescent="0.2">
      <c r="A22" s="3"/>
      <c r="B22" s="1"/>
      <c r="C22" s="1"/>
      <c r="D22" s="1"/>
      <c r="E22" s="1"/>
      <c r="F22" s="1"/>
      <c r="G22" s="1"/>
      <c r="H22" s="4"/>
      <c r="I22" s="1"/>
      <c r="J22" s="1"/>
      <c r="K22" s="1"/>
      <c r="L22" s="1"/>
    </row>
    <row r="23" spans="1:12" x14ac:dyDescent="0.2">
      <c r="A23" s="3"/>
      <c r="B23" s="1"/>
      <c r="C23" s="1"/>
      <c r="D23" s="1"/>
      <c r="E23" s="1"/>
      <c r="F23" s="1"/>
      <c r="G23" s="1"/>
      <c r="H23" s="4"/>
      <c r="I23" s="1"/>
      <c r="J23" s="1"/>
      <c r="K23" s="1"/>
      <c r="L23" s="1"/>
    </row>
    <row r="24" spans="1:12" x14ac:dyDescent="0.2">
      <c r="A24" s="3"/>
      <c r="B24" s="1"/>
      <c r="C24" s="1"/>
      <c r="D24" s="1"/>
      <c r="E24" s="1"/>
      <c r="F24" s="1"/>
      <c r="G24" s="1"/>
      <c r="H24" s="4"/>
      <c r="I24" s="1"/>
      <c r="J24" s="1"/>
      <c r="K24" s="1"/>
      <c r="L24" s="1"/>
    </row>
    <row r="25" spans="1:12" x14ac:dyDescent="0.2">
      <c r="A25" s="3"/>
      <c r="B25" s="1"/>
      <c r="C25" s="1"/>
      <c r="D25" s="1"/>
      <c r="E25" s="1"/>
      <c r="F25" s="1"/>
      <c r="G25" s="1"/>
      <c r="H25" s="4"/>
      <c r="I25" s="1"/>
      <c r="J25" s="1"/>
      <c r="K25" s="1"/>
      <c r="L25" s="1"/>
    </row>
    <row r="26" spans="1:12" x14ac:dyDescent="0.2">
      <c r="A26" s="3"/>
      <c r="B26" s="1"/>
      <c r="C26" s="1"/>
      <c r="D26" s="1"/>
      <c r="E26" s="1"/>
      <c r="F26" s="1"/>
      <c r="G26" s="1"/>
      <c r="H26" s="4"/>
      <c r="I26" s="1"/>
      <c r="J26" s="1"/>
      <c r="K26" s="1"/>
      <c r="L26" s="1"/>
    </row>
    <row r="27" spans="1:12" x14ac:dyDescent="0.2">
      <c r="A27" s="3"/>
      <c r="B27" s="1"/>
      <c r="C27" s="1"/>
      <c r="D27" s="1"/>
      <c r="E27" s="1"/>
      <c r="F27" s="1"/>
      <c r="G27" s="1"/>
      <c r="H27" s="4"/>
      <c r="I27" s="1"/>
      <c r="J27" s="1"/>
      <c r="K27" s="1"/>
      <c r="L27" s="1"/>
    </row>
    <row r="28" spans="1:12" x14ac:dyDescent="0.2">
      <c r="A28" s="3"/>
      <c r="B28" s="1"/>
      <c r="C28" s="1"/>
      <c r="D28" s="1"/>
      <c r="E28" s="1"/>
      <c r="F28" s="1"/>
      <c r="G28" s="1"/>
      <c r="H28" s="4"/>
      <c r="I28" s="1"/>
      <c r="J28" s="1"/>
      <c r="K28" s="1"/>
      <c r="L28" s="1"/>
    </row>
    <row r="29" spans="1:12" x14ac:dyDescent="0.2">
      <c r="A29" s="3"/>
      <c r="B29" s="1"/>
      <c r="C29" s="1"/>
      <c r="D29" s="1"/>
      <c r="E29" s="1"/>
      <c r="F29" s="1"/>
      <c r="G29" s="1"/>
      <c r="H29" s="4"/>
      <c r="I29" s="1"/>
      <c r="J29" s="1"/>
      <c r="K29" s="1"/>
      <c r="L29" s="1"/>
    </row>
    <row r="30" spans="1:12" x14ac:dyDescent="0.2">
      <c r="A30" s="3"/>
      <c r="B30" s="1"/>
      <c r="C30" s="1"/>
      <c r="D30" s="1"/>
      <c r="E30" s="1"/>
      <c r="F30" s="1"/>
      <c r="G30" s="1"/>
      <c r="H30" s="4"/>
      <c r="I30" s="1"/>
      <c r="J30" s="1"/>
      <c r="K30" s="1"/>
      <c r="L30" s="1"/>
    </row>
    <row r="31" spans="1:12" x14ac:dyDescent="0.2">
      <c r="A31" s="3"/>
      <c r="B31" s="1"/>
      <c r="C31" s="1"/>
      <c r="D31" s="1"/>
      <c r="E31" s="1"/>
      <c r="F31" s="1"/>
      <c r="G31" s="1"/>
      <c r="H31" s="4"/>
      <c r="I31" s="1"/>
      <c r="J31" s="1"/>
      <c r="K31" s="1"/>
      <c r="L31" s="1"/>
    </row>
    <row r="32" spans="1:12" x14ac:dyDescent="0.2">
      <c r="A32" s="3"/>
      <c r="B32" s="1"/>
      <c r="C32" s="1"/>
      <c r="D32" s="1"/>
      <c r="E32" s="1"/>
      <c r="F32" s="1"/>
      <c r="G32" s="1"/>
      <c r="H32" s="4"/>
      <c r="I32" s="1"/>
      <c r="J32" s="1"/>
      <c r="K32" s="1"/>
      <c r="L32" s="1"/>
    </row>
    <row r="33" spans="1:12" x14ac:dyDescent="0.2">
      <c r="A33" s="3"/>
      <c r="B33" s="1"/>
      <c r="C33" s="1"/>
      <c r="D33" s="1"/>
      <c r="E33" s="1"/>
      <c r="F33" s="1"/>
      <c r="G33" s="1"/>
      <c r="H33" s="4"/>
      <c r="I33" s="1"/>
      <c r="J33" s="1"/>
      <c r="K33" s="1"/>
      <c r="L33" s="1"/>
    </row>
    <row r="34" spans="1:12" x14ac:dyDescent="0.2">
      <c r="A34" s="3"/>
      <c r="B34" s="1"/>
      <c r="C34" s="1"/>
      <c r="D34" s="1"/>
      <c r="E34" s="1"/>
      <c r="F34" s="1"/>
      <c r="G34" s="1"/>
      <c r="H34" s="4"/>
      <c r="I34" s="1"/>
      <c r="J34" s="1"/>
      <c r="K34" s="1"/>
      <c r="L34" s="1"/>
    </row>
    <row r="35" spans="1:12" x14ac:dyDescent="0.2">
      <c r="A35" s="3"/>
      <c r="B35" s="1"/>
      <c r="C35" s="1"/>
      <c r="D35" s="1"/>
      <c r="E35" s="1"/>
      <c r="F35" s="1"/>
      <c r="G35" s="1"/>
      <c r="H35" s="4"/>
      <c r="I35" s="1"/>
      <c r="J35" s="1"/>
      <c r="K35" s="1"/>
      <c r="L35" s="1"/>
    </row>
    <row r="36" spans="1:12" x14ac:dyDescent="0.2">
      <c r="A36" s="3"/>
      <c r="B36" s="1"/>
      <c r="C36" s="1"/>
      <c r="D36" s="1"/>
      <c r="E36" s="1"/>
      <c r="F36" s="1"/>
      <c r="G36" s="1"/>
      <c r="H36" s="4"/>
      <c r="I36" s="1"/>
      <c r="J36" s="1"/>
      <c r="K36" s="1"/>
      <c r="L36" s="1"/>
    </row>
    <row r="37" spans="1:12" x14ac:dyDescent="0.2">
      <c r="A37" s="3"/>
      <c r="B37" s="1"/>
      <c r="C37" s="1"/>
      <c r="D37" s="1"/>
      <c r="E37" s="1"/>
      <c r="F37" s="1"/>
      <c r="G37" s="1"/>
      <c r="H37" s="4"/>
      <c r="I37" s="1"/>
      <c r="J37" s="1"/>
      <c r="K37" s="1"/>
      <c r="L37" s="1"/>
    </row>
    <row r="38" spans="1:12" x14ac:dyDescent="0.2">
      <c r="A38" s="3"/>
      <c r="B38" s="1"/>
      <c r="C38" s="1"/>
      <c r="D38" s="1"/>
      <c r="E38" s="1"/>
      <c r="F38" s="1"/>
      <c r="G38" s="1"/>
      <c r="H38" s="4"/>
      <c r="I38" s="1"/>
      <c r="J38" s="1"/>
      <c r="K38" s="1"/>
      <c r="L38" s="1"/>
    </row>
    <row r="39" spans="1:12" x14ac:dyDescent="0.2">
      <c r="A39" s="3"/>
      <c r="B39" s="1"/>
      <c r="C39" s="1"/>
      <c r="D39" s="1"/>
      <c r="E39" s="1"/>
      <c r="F39" s="1"/>
      <c r="G39" s="1"/>
      <c r="H39" s="4"/>
      <c r="I39" s="1"/>
      <c r="J39" s="1"/>
      <c r="K39" s="1"/>
      <c r="L39" s="1"/>
    </row>
    <row r="40" spans="1:12" x14ac:dyDescent="0.2">
      <c r="A40" s="3"/>
      <c r="B40" s="1"/>
      <c r="C40" s="1"/>
      <c r="D40" s="1"/>
      <c r="E40" s="1"/>
      <c r="F40" s="1"/>
      <c r="G40" s="1"/>
      <c r="H40" s="4"/>
      <c r="I40" s="1"/>
      <c r="J40" s="1"/>
      <c r="K40" s="1"/>
      <c r="L40" s="1"/>
    </row>
    <row r="41" spans="1:12" x14ac:dyDescent="0.2">
      <c r="A41" s="3"/>
      <c r="B41" s="1"/>
      <c r="C41" s="1"/>
      <c r="D41" s="1"/>
      <c r="E41" s="1"/>
      <c r="F41" s="1"/>
      <c r="G41" s="1"/>
      <c r="H41" s="4"/>
      <c r="I41" s="1"/>
      <c r="J41" s="1"/>
      <c r="K41" s="1"/>
      <c r="L41" s="1"/>
    </row>
    <row r="42" spans="1:12" x14ac:dyDescent="0.2">
      <c r="A42" s="3"/>
      <c r="B42" s="1"/>
      <c r="C42" s="1"/>
      <c r="D42" s="1"/>
      <c r="E42" s="1"/>
      <c r="F42" s="1"/>
      <c r="G42" s="1"/>
      <c r="H42" s="4"/>
      <c r="I42" s="1"/>
      <c r="J42" s="1"/>
      <c r="K42" s="1"/>
      <c r="L42" s="1"/>
    </row>
    <row r="43" spans="1:12" x14ac:dyDescent="0.2">
      <c r="A43" s="3"/>
      <c r="B43" s="1"/>
      <c r="C43" s="1"/>
      <c r="D43" s="1"/>
      <c r="E43" s="1"/>
      <c r="F43" s="1"/>
      <c r="G43" s="1"/>
      <c r="H43" s="4"/>
      <c r="I43" s="1"/>
      <c r="J43" s="1"/>
      <c r="K43" s="1"/>
      <c r="L43" s="1"/>
    </row>
    <row r="44" spans="1:12" x14ac:dyDescent="0.2">
      <c r="A44" s="3"/>
      <c r="B44" s="1"/>
      <c r="C44" s="1"/>
      <c r="D44" s="1"/>
      <c r="E44" s="1"/>
      <c r="F44" s="1"/>
      <c r="G44" s="1"/>
      <c r="H44" s="4"/>
      <c r="I44" s="1"/>
      <c r="J44" s="1"/>
      <c r="K44" s="1"/>
      <c r="L44" s="1"/>
    </row>
    <row r="45" spans="1:12" x14ac:dyDescent="0.2">
      <c r="A45" s="3"/>
      <c r="B45" s="1"/>
      <c r="C45" s="1"/>
      <c r="D45" s="1"/>
      <c r="E45" s="1"/>
      <c r="F45" s="1"/>
      <c r="G45" s="1"/>
      <c r="H45" s="4"/>
      <c r="I45" s="1"/>
      <c r="J45" s="1"/>
      <c r="K45" s="1"/>
      <c r="L45" s="1"/>
    </row>
    <row r="46" spans="1:12" x14ac:dyDescent="0.2">
      <c r="A46" s="3"/>
      <c r="B46" s="1"/>
      <c r="C46" s="1"/>
      <c r="D46" s="1"/>
      <c r="E46" s="1"/>
      <c r="F46" s="1"/>
      <c r="G46" s="1"/>
      <c r="H46" s="4"/>
      <c r="I46" s="1"/>
      <c r="J46" s="1"/>
      <c r="K46" s="1"/>
      <c r="L46" s="1"/>
    </row>
    <row r="47" spans="1:12" x14ac:dyDescent="0.2">
      <c r="A47" s="3"/>
      <c r="B47" s="1"/>
      <c r="C47" s="1"/>
      <c r="D47" s="1"/>
      <c r="E47" s="1"/>
      <c r="F47" s="1"/>
      <c r="G47" s="1"/>
      <c r="H47" s="4"/>
      <c r="I47" s="1"/>
      <c r="J47" s="1"/>
      <c r="K47" s="1"/>
      <c r="L47" s="1"/>
    </row>
    <row r="48" spans="1:12" x14ac:dyDescent="0.2">
      <c r="A48" s="3"/>
      <c r="B48" s="1"/>
      <c r="C48" s="1"/>
      <c r="D48" s="1"/>
      <c r="E48" s="1"/>
      <c r="F48" s="1"/>
      <c r="G48" s="1"/>
      <c r="H48" s="4"/>
      <c r="I48" s="1"/>
      <c r="J48" s="1"/>
      <c r="K48" s="1"/>
      <c r="L48" s="1"/>
    </row>
    <row r="49" spans="1:12" x14ac:dyDescent="0.2">
      <c r="A49" s="3"/>
      <c r="B49" s="1"/>
      <c r="C49" s="1"/>
      <c r="D49" s="1"/>
      <c r="E49" s="1"/>
      <c r="F49" s="1"/>
      <c r="G49" s="1"/>
      <c r="H49" s="4"/>
      <c r="I49" s="1"/>
      <c r="J49" s="1"/>
      <c r="K49" s="1"/>
      <c r="L49" s="1"/>
    </row>
    <row r="50" spans="1:12" x14ac:dyDescent="0.2">
      <c r="A50" s="3"/>
      <c r="B50" s="1"/>
      <c r="C50" s="1"/>
      <c r="D50" s="1"/>
      <c r="E50" s="1"/>
      <c r="F50" s="1"/>
      <c r="G50" s="1"/>
      <c r="H50" s="4"/>
      <c r="I50" s="1"/>
      <c r="J50" s="1"/>
      <c r="K50" s="1"/>
      <c r="L50" s="1"/>
    </row>
    <row r="51" spans="1:12" x14ac:dyDescent="0.2">
      <c r="A51" s="3"/>
      <c r="B51" s="1"/>
      <c r="C51" s="1"/>
      <c r="D51" s="1"/>
      <c r="E51" s="1"/>
      <c r="F51" s="1"/>
      <c r="G51" s="1"/>
      <c r="H51" s="4"/>
      <c r="I51" s="1"/>
      <c r="J51" s="1"/>
      <c r="K51" s="1"/>
      <c r="L51" s="1"/>
    </row>
    <row r="52" spans="1:12" x14ac:dyDescent="0.2">
      <c r="A52" s="3"/>
      <c r="B52" s="1"/>
      <c r="C52" s="1"/>
      <c r="D52" s="1"/>
      <c r="E52" s="1"/>
      <c r="F52" s="1"/>
      <c r="G52" s="1"/>
      <c r="H52" s="4"/>
      <c r="I52" s="1"/>
      <c r="J52" s="1"/>
      <c r="K52" s="1"/>
      <c r="L52" s="1"/>
    </row>
    <row r="53" spans="1:12" x14ac:dyDescent="0.2">
      <c r="A53" s="3"/>
      <c r="B53" s="1"/>
      <c r="C53" s="1"/>
      <c r="D53" s="1"/>
      <c r="E53" s="1"/>
      <c r="F53" s="1"/>
      <c r="G53" s="1"/>
      <c r="H53" s="4"/>
      <c r="I53" s="1"/>
      <c r="J53" s="1"/>
      <c r="K53" s="1"/>
      <c r="L53" s="1"/>
    </row>
    <row r="54" spans="1:12" x14ac:dyDescent="0.2">
      <c r="A54" s="3"/>
      <c r="B54" s="1"/>
      <c r="C54" s="1"/>
      <c r="D54" s="1"/>
      <c r="E54" s="1"/>
      <c r="F54" s="1"/>
      <c r="G54" s="1"/>
      <c r="H54" s="4"/>
      <c r="I54" s="1"/>
      <c r="J54" s="1"/>
      <c r="K54" s="1"/>
      <c r="L54" s="1"/>
    </row>
    <row r="55" spans="1:12" x14ac:dyDescent="0.2">
      <c r="A55" s="3"/>
      <c r="B55" s="1"/>
      <c r="C55" s="1"/>
      <c r="D55" s="1"/>
      <c r="E55" s="1"/>
      <c r="F55" s="1"/>
      <c r="G55" s="1"/>
      <c r="H55" s="4"/>
      <c r="I55" s="1"/>
      <c r="J55" s="1"/>
      <c r="K55" s="1"/>
      <c r="L55" s="1"/>
    </row>
    <row r="56" spans="1:12" x14ac:dyDescent="0.2">
      <c r="A56" s="3"/>
      <c r="B56" s="1"/>
      <c r="C56" s="1"/>
      <c r="D56" s="1"/>
      <c r="E56" s="1"/>
      <c r="F56" s="1"/>
      <c r="G56" s="1"/>
      <c r="H56" s="4"/>
      <c r="I56" s="1"/>
      <c r="J56" s="1"/>
      <c r="K56" s="1"/>
      <c r="L56" s="1"/>
    </row>
    <row r="57" spans="1:12" x14ac:dyDescent="0.2">
      <c r="A57" s="3"/>
      <c r="B57" s="1"/>
      <c r="C57" s="1"/>
      <c r="D57" s="1"/>
      <c r="E57" s="1"/>
      <c r="F57" s="1"/>
      <c r="G57" s="1"/>
      <c r="H57" s="4"/>
      <c r="I57" s="1"/>
      <c r="J57" s="1"/>
      <c r="K57" s="1"/>
      <c r="L57" s="1"/>
    </row>
    <row r="58" spans="1:12" x14ac:dyDescent="0.2">
      <c r="A58" s="3"/>
      <c r="B58" s="1"/>
      <c r="C58" s="1"/>
      <c r="D58" s="1"/>
      <c r="E58" s="1"/>
      <c r="F58" s="1"/>
      <c r="G58" s="1"/>
      <c r="H58" s="4"/>
      <c r="I58" s="1"/>
      <c r="J58" s="1"/>
      <c r="K58" s="1"/>
      <c r="L58" s="1"/>
    </row>
    <row r="59" spans="1:12" x14ac:dyDescent="0.2">
      <c r="A59" s="3"/>
      <c r="B59" s="1"/>
      <c r="C59" s="1"/>
      <c r="D59" s="1"/>
      <c r="E59" s="1"/>
      <c r="F59" s="1"/>
      <c r="G59" s="1"/>
      <c r="H59" s="4"/>
      <c r="I59" s="1"/>
      <c r="J59" s="1"/>
      <c r="K59" s="1"/>
      <c r="L59" s="1"/>
    </row>
    <row r="60" spans="1:12" x14ac:dyDescent="0.2">
      <c r="A60" s="3"/>
      <c r="B60" s="1"/>
      <c r="C60" s="1"/>
      <c r="D60" s="1"/>
      <c r="E60" s="1"/>
      <c r="F60" s="1"/>
      <c r="G60" s="1"/>
      <c r="H60" s="4"/>
      <c r="I60" s="1"/>
      <c r="J60" s="1"/>
      <c r="K60" s="1"/>
      <c r="L60" s="1"/>
    </row>
    <row r="61" spans="1:12" x14ac:dyDescent="0.2">
      <c r="A61" s="3"/>
      <c r="B61" s="1"/>
      <c r="C61" s="1"/>
      <c r="D61" s="1"/>
      <c r="E61" s="1"/>
      <c r="F61" s="1"/>
      <c r="G61" s="1"/>
      <c r="H61" s="4"/>
      <c r="I61" s="1"/>
      <c r="J61" s="1"/>
      <c r="K61" s="1"/>
      <c r="L61" s="1"/>
    </row>
    <row r="62" spans="1:12" x14ac:dyDescent="0.2">
      <c r="A62" s="3"/>
      <c r="B62" s="1"/>
      <c r="C62" s="1"/>
      <c r="D62" s="1"/>
      <c r="E62" s="1"/>
      <c r="F62" s="1"/>
      <c r="G62" s="1"/>
      <c r="H62" s="4"/>
      <c r="I62" s="1"/>
      <c r="J62" s="1"/>
      <c r="K62" s="1"/>
      <c r="L62" s="1"/>
    </row>
    <row r="63" spans="1:12" x14ac:dyDescent="0.2">
      <c r="A63" s="3"/>
      <c r="B63" s="1"/>
      <c r="C63" s="1"/>
      <c r="D63" s="1"/>
      <c r="E63" s="1"/>
      <c r="F63" s="1"/>
      <c r="G63" s="1"/>
      <c r="H63" s="4"/>
      <c r="I63" s="1"/>
      <c r="J63" s="1"/>
      <c r="K63" s="1"/>
      <c r="L63" s="1"/>
    </row>
    <row r="64" spans="1:12" x14ac:dyDescent="0.2">
      <c r="A64" s="3"/>
      <c r="B64" s="1"/>
      <c r="C64" s="1"/>
      <c r="D64" s="1"/>
      <c r="E64" s="1"/>
      <c r="F64" s="1"/>
      <c r="G64" s="1"/>
      <c r="H64" s="4"/>
      <c r="I64" s="1"/>
      <c r="J64" s="1"/>
      <c r="K64" s="1"/>
      <c r="L64" s="1"/>
    </row>
    <row r="65" spans="1:12" x14ac:dyDescent="0.2">
      <c r="A65" s="3"/>
      <c r="B65" s="1"/>
      <c r="C65" s="1"/>
      <c r="D65" s="1"/>
      <c r="E65" s="1"/>
      <c r="F65" s="1"/>
      <c r="G65" s="1"/>
      <c r="H65" s="4"/>
      <c r="I65" s="1"/>
      <c r="J65" s="1"/>
      <c r="K65" s="1"/>
      <c r="L65" s="1"/>
    </row>
    <row r="66" spans="1:12" x14ac:dyDescent="0.2">
      <c r="A66" s="3"/>
      <c r="B66" s="1"/>
      <c r="C66" s="1"/>
      <c r="D66" s="1"/>
      <c r="E66" s="1"/>
      <c r="F66" s="1"/>
      <c r="G66" s="1"/>
      <c r="H66" s="4"/>
      <c r="I66" s="1"/>
      <c r="J66" s="1"/>
      <c r="K66" s="1"/>
      <c r="L66" s="1"/>
    </row>
    <row r="67" spans="1:12" x14ac:dyDescent="0.2">
      <c r="A67" s="3"/>
      <c r="B67" s="1"/>
      <c r="C67" s="1"/>
      <c r="D67" s="1"/>
      <c r="E67" s="1"/>
      <c r="F67" s="1"/>
      <c r="G67" s="1"/>
      <c r="H67" s="4"/>
      <c r="I67" s="1"/>
      <c r="J67" s="1"/>
      <c r="K67" s="1"/>
      <c r="L67" s="1"/>
    </row>
    <row r="68" spans="1:12" x14ac:dyDescent="0.2">
      <c r="A68" s="3"/>
      <c r="B68" s="1"/>
      <c r="C68" s="1"/>
      <c r="D68" s="1"/>
      <c r="E68" s="1"/>
      <c r="F68" s="1"/>
      <c r="G68" s="1"/>
      <c r="H68" s="4"/>
      <c r="I68" s="1"/>
      <c r="J68" s="1"/>
      <c r="K68" s="1"/>
      <c r="L68" s="1"/>
    </row>
    <row r="69" spans="1:12" x14ac:dyDescent="0.2">
      <c r="A69" s="3"/>
      <c r="B69" s="1"/>
      <c r="C69" s="1"/>
      <c r="D69" s="1"/>
      <c r="E69" s="1"/>
      <c r="F69" s="1"/>
      <c r="G69" s="1"/>
      <c r="H69" s="4"/>
      <c r="I69" s="1"/>
      <c r="J69" s="1"/>
      <c r="K69" s="1"/>
      <c r="L69" s="1"/>
    </row>
    <row r="70" spans="1:12" x14ac:dyDescent="0.2">
      <c r="A70" s="3"/>
      <c r="B70" s="1"/>
      <c r="C70" s="1"/>
      <c r="D70" s="1"/>
      <c r="E70" s="1"/>
      <c r="F70" s="1"/>
      <c r="G70" s="1"/>
      <c r="H70" s="4"/>
      <c r="I70" s="1"/>
      <c r="J70" s="1"/>
      <c r="K70" s="1"/>
      <c r="L70" s="1"/>
    </row>
    <row r="71" spans="1:12" x14ac:dyDescent="0.2">
      <c r="A71" s="3"/>
      <c r="B71" s="1"/>
      <c r="C71" s="1"/>
      <c r="D71" s="1"/>
      <c r="E71" s="1"/>
      <c r="F71" s="1"/>
      <c r="G71" s="1"/>
      <c r="H71" s="4"/>
      <c r="I71" s="1"/>
      <c r="J71" s="1"/>
      <c r="K71" s="1"/>
      <c r="L71" s="1"/>
    </row>
    <row r="72" spans="1:12" x14ac:dyDescent="0.2">
      <c r="A72" s="3"/>
      <c r="B72" s="1"/>
      <c r="C72" s="1"/>
      <c r="D72" s="1"/>
      <c r="E72" s="1"/>
      <c r="F72" s="1"/>
      <c r="G72" s="1"/>
      <c r="H72" s="4"/>
      <c r="I72" s="1"/>
      <c r="J72" s="1"/>
      <c r="K72" s="1"/>
      <c r="L72" s="1"/>
    </row>
    <row r="73" spans="1:12" x14ac:dyDescent="0.2">
      <c r="A73" s="3"/>
      <c r="B73" s="1"/>
      <c r="C73" s="1"/>
      <c r="D73" s="1"/>
      <c r="E73" s="1"/>
      <c r="F73" s="1"/>
      <c r="G73" s="1"/>
      <c r="H73" s="4"/>
      <c r="I73" s="1"/>
      <c r="J73" s="1"/>
      <c r="K73" s="1"/>
      <c r="L73" s="1"/>
    </row>
    <row r="74" spans="1:12" x14ac:dyDescent="0.2">
      <c r="A74" s="3"/>
      <c r="B74" s="1"/>
      <c r="C74" s="1"/>
      <c r="D74" s="1"/>
      <c r="E74" s="1"/>
      <c r="F74" s="1"/>
      <c r="G74" s="1"/>
      <c r="H74" s="4"/>
      <c r="I74" s="1"/>
      <c r="J74" s="1"/>
      <c r="K74" s="1"/>
      <c r="L74" s="1"/>
    </row>
    <row r="75" spans="1:12" x14ac:dyDescent="0.2">
      <c r="A75" s="3"/>
      <c r="B75" s="1"/>
      <c r="C75" s="1"/>
      <c r="D75" s="1"/>
      <c r="E75" s="1"/>
      <c r="F75" s="1"/>
      <c r="G75" s="1"/>
      <c r="H75" s="4"/>
      <c r="I75" s="1"/>
      <c r="J75" s="1"/>
      <c r="K75" s="1"/>
      <c r="L75" s="1"/>
    </row>
    <row r="76" spans="1:12" x14ac:dyDescent="0.2">
      <c r="A76" s="3"/>
      <c r="B76" s="1"/>
      <c r="C76" s="1"/>
      <c r="D76" s="1"/>
      <c r="E76" s="1"/>
      <c r="F76" s="1"/>
      <c r="G76" s="1"/>
      <c r="H76" s="4"/>
      <c r="I76" s="1"/>
      <c r="J76" s="1"/>
      <c r="K76" s="1"/>
      <c r="L76" s="1"/>
    </row>
    <row r="77" spans="1:12" x14ac:dyDescent="0.2">
      <c r="A77" s="3"/>
      <c r="B77" s="1"/>
      <c r="C77" s="1"/>
      <c r="D77" s="1"/>
      <c r="E77" s="1"/>
      <c r="F77" s="1"/>
      <c r="G77" s="1"/>
      <c r="H77" s="4"/>
      <c r="I77" s="1"/>
      <c r="J77" s="1"/>
      <c r="K77" s="1"/>
      <c r="L77" s="1"/>
    </row>
    <row r="78" spans="1:12" x14ac:dyDescent="0.2">
      <c r="A78" s="3"/>
      <c r="B78" s="1"/>
      <c r="C78" s="1"/>
      <c r="D78" s="1"/>
      <c r="E78" s="1"/>
      <c r="F78" s="1"/>
      <c r="G78" s="1"/>
      <c r="H78" s="4"/>
      <c r="I78" s="1"/>
      <c r="J78" s="1"/>
      <c r="K78" s="1"/>
      <c r="L78" s="1"/>
    </row>
    <row r="79" spans="1:12" x14ac:dyDescent="0.2">
      <c r="A79" s="3"/>
      <c r="B79" s="1"/>
      <c r="C79" s="1"/>
      <c r="D79" s="1"/>
      <c r="E79" s="1"/>
      <c r="F79" s="1"/>
      <c r="G79" s="1"/>
      <c r="H79" s="4"/>
      <c r="I79" s="1"/>
      <c r="J79" s="1"/>
      <c r="K79" s="1"/>
      <c r="L79" s="1"/>
    </row>
    <row r="80" spans="1:12" x14ac:dyDescent="0.2">
      <c r="A80" s="3"/>
      <c r="B80" s="1"/>
      <c r="C80" s="1"/>
      <c r="D80" s="1"/>
      <c r="E80" s="1"/>
      <c r="F80" s="1"/>
      <c r="G80" s="1"/>
      <c r="H80" s="4"/>
      <c r="I80" s="1"/>
      <c r="J80" s="1"/>
      <c r="K80" s="1"/>
      <c r="L80" s="1"/>
    </row>
    <row r="81" spans="1:12" x14ac:dyDescent="0.2">
      <c r="A81" s="3"/>
      <c r="B81" s="1"/>
      <c r="C81" s="1"/>
      <c r="D81" s="1"/>
      <c r="E81" s="1"/>
      <c r="F81" s="1"/>
      <c r="G81" s="1"/>
      <c r="H81" s="4"/>
      <c r="I81" s="1"/>
      <c r="J81" s="1"/>
      <c r="K81" s="1"/>
      <c r="L81" s="1"/>
    </row>
    <row r="82" spans="1:12" x14ac:dyDescent="0.2">
      <c r="A82" s="3"/>
      <c r="B82" s="1"/>
      <c r="C82" s="1"/>
      <c r="D82" s="1"/>
      <c r="E82" s="1"/>
      <c r="F82" s="1"/>
      <c r="G82" s="1"/>
      <c r="H82" s="4"/>
      <c r="I82" s="1"/>
      <c r="J82" s="1"/>
      <c r="K82" s="1"/>
      <c r="L82" s="1"/>
    </row>
    <row r="83" spans="1:12" x14ac:dyDescent="0.2">
      <c r="A83" s="3"/>
      <c r="B83" s="1"/>
      <c r="C83" s="1"/>
      <c r="D83" s="1"/>
      <c r="E83" s="1"/>
      <c r="F83" s="1"/>
      <c r="G83" s="1"/>
      <c r="H83" s="4"/>
      <c r="I83" s="1"/>
      <c r="J83" s="1"/>
      <c r="K83" s="1"/>
      <c r="L83" s="1"/>
    </row>
    <row r="84" spans="1:12" x14ac:dyDescent="0.2">
      <c r="A84" s="3"/>
      <c r="B84" s="1"/>
      <c r="C84" s="1"/>
      <c r="D84" s="1"/>
      <c r="E84" s="1"/>
      <c r="F84" s="1"/>
      <c r="G84" s="1"/>
      <c r="H84" s="4"/>
      <c r="I84" s="1"/>
      <c r="J84" s="1"/>
      <c r="K84" s="1"/>
      <c r="L84" s="1"/>
    </row>
    <row r="85" spans="1:12" x14ac:dyDescent="0.2">
      <c r="A85" s="3"/>
      <c r="B85" s="1"/>
      <c r="C85" s="1"/>
      <c r="D85" s="1"/>
      <c r="E85" s="1"/>
      <c r="F85" s="1"/>
      <c r="G85" s="1"/>
      <c r="H85" s="4"/>
      <c r="I85" s="1"/>
      <c r="J85" s="1"/>
      <c r="K85" s="1"/>
      <c r="L85" s="1"/>
    </row>
    <row r="86" spans="1:12" x14ac:dyDescent="0.2">
      <c r="A86" s="3"/>
      <c r="B86" s="1"/>
      <c r="C86" s="1"/>
      <c r="D86" s="1"/>
      <c r="E86" s="1"/>
      <c r="F86" s="1"/>
      <c r="G86" s="1"/>
      <c r="H86" s="4"/>
      <c r="I86" s="1"/>
      <c r="J86" s="1"/>
      <c r="K86" s="1"/>
      <c r="L86" s="1"/>
    </row>
    <row r="87" spans="1:12" x14ac:dyDescent="0.2">
      <c r="A87" s="3"/>
      <c r="B87" s="1"/>
      <c r="C87" s="1"/>
      <c r="D87" s="1"/>
      <c r="E87" s="1"/>
      <c r="F87" s="1"/>
      <c r="G87" s="1"/>
      <c r="H87" s="4"/>
      <c r="I87" s="1"/>
      <c r="J87" s="1"/>
      <c r="K87" s="1"/>
      <c r="L87" s="1"/>
    </row>
    <row r="88" spans="1:12" x14ac:dyDescent="0.2">
      <c r="A88" s="3"/>
      <c r="B88" s="1"/>
      <c r="C88" s="1"/>
      <c r="D88" s="1"/>
      <c r="E88" s="1"/>
      <c r="F88" s="1"/>
      <c r="G88" s="1"/>
      <c r="H88" s="4"/>
      <c r="I88" s="1"/>
      <c r="J88" s="1"/>
      <c r="K88" s="1"/>
      <c r="L88" s="1"/>
    </row>
    <row r="89" spans="1:12" x14ac:dyDescent="0.2">
      <c r="A89" s="3"/>
      <c r="B89" s="1"/>
      <c r="C89" s="1"/>
      <c r="D89" s="1"/>
      <c r="E89" s="1"/>
      <c r="F89" s="1"/>
      <c r="G89" s="1"/>
      <c r="H89" s="4"/>
      <c r="I89" s="1"/>
      <c r="J89" s="1"/>
      <c r="K89" s="1"/>
      <c r="L89" s="1"/>
    </row>
    <row r="90" spans="1:12" x14ac:dyDescent="0.2">
      <c r="A90" s="3"/>
      <c r="B90" s="1"/>
      <c r="C90" s="1"/>
      <c r="D90" s="1"/>
      <c r="E90" s="1"/>
      <c r="F90" s="1"/>
      <c r="G90" s="1"/>
      <c r="H90" s="4"/>
      <c r="I90" s="1"/>
      <c r="J90" s="1"/>
      <c r="K90" s="1"/>
      <c r="L90" s="1"/>
    </row>
    <row r="91" spans="1:12" x14ac:dyDescent="0.2">
      <c r="A91" s="3"/>
      <c r="B91" s="1"/>
      <c r="C91" s="1"/>
      <c r="D91" s="1"/>
      <c r="E91" s="1"/>
      <c r="F91" s="1"/>
      <c r="G91" s="1"/>
      <c r="H91" s="4"/>
      <c r="I91" s="1"/>
      <c r="J91" s="1"/>
      <c r="K91" s="1"/>
      <c r="L91" s="1"/>
    </row>
    <row r="92" spans="1:12" x14ac:dyDescent="0.2">
      <c r="A92" s="3"/>
      <c r="B92" s="1"/>
      <c r="C92" s="1"/>
      <c r="D92" s="1"/>
      <c r="E92" s="1"/>
      <c r="F92" s="1"/>
      <c r="G92" s="1"/>
      <c r="H92" s="4"/>
      <c r="I92" s="1"/>
      <c r="J92" s="1"/>
      <c r="K92" s="1"/>
      <c r="L92" s="1"/>
    </row>
    <row r="93" spans="1:12" x14ac:dyDescent="0.2">
      <c r="A93" s="3"/>
      <c r="B93" s="1"/>
      <c r="C93" s="1"/>
      <c r="D93" s="1"/>
      <c r="E93" s="1"/>
      <c r="F93" s="1"/>
      <c r="G93" s="1"/>
      <c r="H93" s="4"/>
      <c r="I93" s="1"/>
      <c r="J93" s="1"/>
      <c r="K93" s="1"/>
      <c r="L93" s="1"/>
    </row>
    <row r="94" spans="1:12" x14ac:dyDescent="0.2">
      <c r="A94" s="3"/>
      <c r="B94" s="1"/>
      <c r="C94" s="1"/>
      <c r="D94" s="1"/>
      <c r="E94" s="1"/>
      <c r="F94" s="1"/>
      <c r="G94" s="1"/>
      <c r="H94" s="4"/>
      <c r="I94" s="1"/>
      <c r="J94" s="1"/>
      <c r="K94" s="1"/>
      <c r="L94" s="1"/>
    </row>
    <row r="95" spans="1:12" x14ac:dyDescent="0.2">
      <c r="A95" s="3"/>
      <c r="B95" s="1"/>
      <c r="C95" s="1"/>
      <c r="D95" s="1"/>
      <c r="E95" s="1"/>
      <c r="F95" s="1"/>
      <c r="G95" s="1"/>
      <c r="H95" s="4"/>
      <c r="I95" s="1"/>
      <c r="J95" s="1"/>
      <c r="K95" s="1"/>
      <c r="L95" s="1"/>
    </row>
    <row r="96" spans="1:12" x14ac:dyDescent="0.2">
      <c r="A96" s="3"/>
      <c r="B96" s="1"/>
      <c r="C96" s="1"/>
      <c r="D96" s="1"/>
      <c r="E96" s="1"/>
      <c r="F96" s="1"/>
      <c r="G96" s="1"/>
      <c r="H96" s="4"/>
      <c r="I96" s="1"/>
      <c r="J96" s="1"/>
      <c r="K96" s="1"/>
      <c r="L96" s="1"/>
    </row>
    <row r="97" spans="1:12" x14ac:dyDescent="0.2">
      <c r="A97" s="3"/>
      <c r="B97" s="1"/>
      <c r="C97" s="1"/>
      <c r="D97" s="1"/>
      <c r="E97" s="1"/>
      <c r="F97" s="1"/>
      <c r="G97" s="1"/>
      <c r="H97" s="4"/>
      <c r="I97" s="1"/>
      <c r="J97" s="1"/>
      <c r="K97" s="1"/>
      <c r="L97" s="1"/>
    </row>
    <row r="98" spans="1:12" x14ac:dyDescent="0.2">
      <c r="A98" s="3"/>
      <c r="B98" s="1"/>
      <c r="C98" s="1"/>
      <c r="D98" s="1"/>
      <c r="E98" s="1"/>
      <c r="F98" s="1"/>
      <c r="G98" s="1"/>
      <c r="H98" s="4"/>
      <c r="I98" s="1"/>
      <c r="J98" s="1"/>
      <c r="K98" s="1"/>
      <c r="L98" s="1"/>
    </row>
    <row r="99" spans="1:12" x14ac:dyDescent="0.2">
      <c r="A99" s="3"/>
      <c r="B99" s="1"/>
      <c r="C99" s="1"/>
      <c r="D99" s="1"/>
      <c r="E99" s="1"/>
      <c r="F99" s="1"/>
      <c r="G99" s="1"/>
      <c r="H99" s="4"/>
      <c r="I99" s="1"/>
      <c r="J99" s="1"/>
      <c r="K99" s="1"/>
      <c r="L99" s="1"/>
    </row>
    <row r="100" spans="1:12" x14ac:dyDescent="0.2">
      <c r="A100" s="3"/>
      <c r="B100" s="1"/>
      <c r="C100" s="1"/>
      <c r="D100" s="1"/>
      <c r="E100" s="1"/>
      <c r="F100" s="1"/>
      <c r="G100" s="1"/>
      <c r="H100" s="4"/>
      <c r="I100" s="1"/>
      <c r="J100" s="1"/>
      <c r="K100" s="1"/>
      <c r="L100" s="1"/>
    </row>
    <row r="101" spans="1:12" x14ac:dyDescent="0.2">
      <c r="A101" s="3"/>
      <c r="B101" s="1"/>
      <c r="C101" s="1"/>
      <c r="D101" s="1"/>
      <c r="E101" s="1"/>
      <c r="F101" s="1"/>
      <c r="G101" s="1"/>
      <c r="H101" s="4"/>
      <c r="I101" s="1"/>
      <c r="J101" s="1"/>
      <c r="K101" s="1"/>
      <c r="L101" s="1"/>
    </row>
    <row r="102" spans="1:12" x14ac:dyDescent="0.2">
      <c r="A102" s="3"/>
      <c r="B102" s="1"/>
      <c r="C102" s="1"/>
      <c r="D102" s="1"/>
      <c r="E102" s="1"/>
      <c r="F102" s="1"/>
      <c r="G102" s="1"/>
      <c r="H102" s="4"/>
      <c r="I102" s="1"/>
      <c r="J102" s="1"/>
      <c r="K102" s="1"/>
      <c r="L102" s="1"/>
    </row>
    <row r="103" spans="1:12" x14ac:dyDescent="0.2">
      <c r="A103" s="3"/>
      <c r="B103" s="1"/>
      <c r="C103" s="1"/>
      <c r="D103" s="1"/>
      <c r="E103" s="1"/>
      <c r="F103" s="1"/>
      <c r="G103" s="1"/>
      <c r="H103" s="4"/>
      <c r="I103" s="1"/>
      <c r="J103" s="1"/>
      <c r="K103" s="1"/>
      <c r="L103" s="1"/>
    </row>
    <row r="104" spans="1:12" x14ac:dyDescent="0.2">
      <c r="A104" s="3"/>
      <c r="B104" s="1"/>
      <c r="C104" s="1"/>
      <c r="D104" s="1"/>
      <c r="E104" s="1"/>
      <c r="F104" s="1"/>
      <c r="G104" s="1"/>
      <c r="H104" s="4"/>
      <c r="I104" s="1"/>
      <c r="J104" s="1"/>
      <c r="K104" s="1"/>
      <c r="L104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2025</vt:lpstr>
      <vt:lpstr>Config</vt:lpstr>
      <vt:lpstr>Result</vt:lpstr>
      <vt:lpstr>Config!Criteria</vt:lpstr>
      <vt:lpstr>Result!Criteria</vt:lpstr>
      <vt:lpstr>Result!Extract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eslam</dc:creator>
  <cp:lastModifiedBy>Eslam Abdullah</cp:lastModifiedBy>
  <dcterms:created xsi:type="dcterms:W3CDTF">2015-06-05T18:17:20Z</dcterms:created>
  <dcterms:modified xsi:type="dcterms:W3CDTF">2025-07-24T11:07:20Z</dcterms:modified>
</cp:coreProperties>
</file>